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ichardlai/Downloads/"/>
    </mc:Choice>
  </mc:AlternateContent>
  <xr:revisionPtr revIDLastSave="0" documentId="8_{AFBAFD68-BBCB-6344-BC55-0A36D3BCAAE5}" xr6:coauthVersionLast="47" xr6:coauthVersionMax="47" xr10:uidLastSave="{00000000-0000-0000-0000-000000000000}"/>
  <bookViews>
    <workbookView xWindow="0" yWindow="660" windowWidth="26660" windowHeight="16100" xr2:uid="{00000000-000D-0000-FFFF-FFFF00000000}"/>
  </bookViews>
  <sheets>
    <sheet name="配送計畫" sheetId="1" r:id="rId1"/>
    <sheet name="工作表1" sheetId="2" r:id="rId2"/>
    <sheet name="工作表2" sheetId="3" r:id="rId3"/>
    <sheet name="2017年度海山支會贈經明細" sheetId="4" r:id="rId4"/>
    <sheet name="2018年海山支會贈經明細 " sheetId="5" r:id="rId5"/>
    <sheet name="2019年海山支會贈經明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WqoHdDZVD9tFkbkg+K+87DGpCETZMhhwuB8NkavJGzQ="/>
    </ext>
  </extLst>
</workbook>
</file>

<file path=xl/calcChain.xml><?xml version="1.0" encoding="utf-8"?>
<calcChain xmlns="http://schemas.openxmlformats.org/spreadsheetml/2006/main">
  <c r="W36" i="6" l="1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5" i="6"/>
  <c r="E34" i="6"/>
  <c r="E33" i="6"/>
  <c r="E32" i="6"/>
  <c r="E31" i="6"/>
  <c r="E30" i="6"/>
  <c r="E29" i="6"/>
  <c r="E28" i="6"/>
  <c r="E27" i="6"/>
  <c r="E26" i="6"/>
  <c r="E25" i="6"/>
  <c r="E24" i="6"/>
  <c r="J3" i="6" s="1"/>
  <c r="J4" i="6" s="1"/>
  <c r="E23" i="6"/>
  <c r="E22" i="6"/>
  <c r="E21" i="6"/>
  <c r="E20" i="6"/>
  <c r="E19" i="6"/>
  <c r="E18" i="6"/>
  <c r="F3" i="6" s="1"/>
  <c r="F4" i="6" s="1"/>
  <c r="E17" i="6"/>
  <c r="E16" i="6"/>
  <c r="E15" i="6"/>
  <c r="E14" i="6"/>
  <c r="E13" i="6"/>
  <c r="E12" i="6"/>
  <c r="E11" i="6"/>
  <c r="E10" i="6"/>
  <c r="E9" i="6"/>
  <c r="Q4" i="6"/>
  <c r="O4" i="6"/>
  <c r="N4" i="6"/>
  <c r="M4" i="6"/>
  <c r="L4" i="6"/>
  <c r="K4" i="6"/>
  <c r="H4" i="6"/>
  <c r="C4" i="6"/>
  <c r="S3" i="6"/>
  <c r="S4" i="6" s="1"/>
  <c r="I3" i="6"/>
  <c r="I4" i="6" s="1"/>
  <c r="G3" i="6"/>
  <c r="G4" i="6" s="1"/>
  <c r="D3" i="6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C6" i="6" l="1"/>
  <c r="E37" i="6"/>
  <c r="P3" i="6"/>
  <c r="P4" i="6" s="1"/>
  <c r="E36" i="6"/>
  <c r="D6" i="6"/>
  <c r="C7" i="6"/>
  <c r="R3" i="6"/>
  <c r="R4" i="6" s="1"/>
</calcChain>
</file>

<file path=xl/sharedStrings.xml><?xml version="1.0" encoding="utf-8"?>
<sst xmlns="http://schemas.openxmlformats.org/spreadsheetml/2006/main" count="1424" uniqueCount="433">
  <si>
    <t>2016-2017年度學校(2016/6/1-2017/5/31)贈經實績</t>
  </si>
  <si>
    <t>2017-2018年度學校(2017/6/1-2018/5/31)贈經實績</t>
  </si>
  <si>
    <t>2018-2019年度學校(2018/6/1-2019/5/31)贈經計畫規劃</t>
  </si>
  <si>
    <t>2019-2020年度學校(2018/6/1-2019/5/31)贈經計畫規劃</t>
  </si>
  <si>
    <t>2020-2021年度學校(2020/6/1-2021/5/31)贈經計畫規劃</t>
  </si>
  <si>
    <t>2022-2023年度學校(2022/6/1-2023/5/31)贈經計畫規劃</t>
  </si>
  <si>
    <t>2023-2024年度學校(2023/6/1-2024/5/31)贈經計畫規劃</t>
  </si>
  <si>
    <t>2025-2026年度學校(2025/6/1-2026/5/31)贈經計畫規劃</t>
  </si>
  <si>
    <t>月份</t>
  </si>
  <si>
    <t>No</t>
  </si>
  <si>
    <t>贈經日</t>
  </si>
  <si>
    <t>學校</t>
  </si>
  <si>
    <t>星期</t>
  </si>
  <si>
    <t>時間</t>
  </si>
  <si>
    <t>贈經數</t>
  </si>
  <si>
    <t>贈經日期</t>
  </si>
  <si>
    <t>項目</t>
  </si>
  <si>
    <t>6月</t>
  </si>
  <si>
    <t>明德中學</t>
  </si>
  <si>
    <t>四</t>
  </si>
  <si>
    <t>06月10日</t>
  </si>
  <si>
    <t>大學</t>
  </si>
  <si>
    <t>台北大學畢業典禮</t>
  </si>
  <si>
    <t>六</t>
  </si>
  <si>
    <t>06月09日</t>
  </si>
  <si>
    <t>06月06日</t>
  </si>
  <si>
    <t>國高中</t>
  </si>
  <si>
    <t>清水中學畢業典禮</t>
  </si>
  <si>
    <t>06月13日</t>
  </si>
  <si>
    <t>06月08日</t>
  </si>
  <si>
    <t>土城國中畢典</t>
  </si>
  <si>
    <t>鶯歌高職</t>
  </si>
  <si>
    <t>中正國中畢業典禮</t>
  </si>
  <si>
    <t>二</t>
  </si>
  <si>
    <t>06月15日</t>
  </si>
  <si>
    <t>台北大學畢典</t>
  </si>
  <si>
    <t>9月</t>
  </si>
  <si>
    <t>北大國/高中</t>
  </si>
  <si>
    <t>三</t>
  </si>
  <si>
    <t>3</t>
  </si>
  <si>
    <t>09月6日</t>
  </si>
  <si>
    <t>北大國高中</t>
  </si>
  <si>
    <t>09月05日</t>
  </si>
  <si>
    <t>09月11日</t>
  </si>
  <si>
    <t>三多國中</t>
  </si>
  <si>
    <t>09月9日</t>
  </si>
  <si>
    <t>09月8日</t>
  </si>
  <si>
    <t>09月06日</t>
  </si>
  <si>
    <t>09月04日</t>
  </si>
  <si>
    <t xml:space="preserve"> 四</t>
  </si>
  <si>
    <t>4</t>
  </si>
  <si>
    <t>09月20日</t>
  </si>
  <si>
    <t>安溪國中</t>
  </si>
  <si>
    <t>09月12日</t>
  </si>
  <si>
    <t xml:space="preserve">100
</t>
  </si>
  <si>
    <t>09月19日</t>
  </si>
  <si>
    <t>樹林國高中</t>
  </si>
  <si>
    <t>09月16日</t>
  </si>
  <si>
    <t>09月15日</t>
  </si>
  <si>
    <t>09月13日</t>
  </si>
  <si>
    <t>10月</t>
  </si>
  <si>
    <t>5</t>
  </si>
  <si>
    <t>10月06日</t>
  </si>
  <si>
    <t>新北高工</t>
  </si>
  <si>
    <t>五</t>
  </si>
  <si>
    <t>10月03日</t>
  </si>
  <si>
    <t>中正國中</t>
  </si>
  <si>
    <t>10月02日</t>
  </si>
  <si>
    <t>10月07日</t>
  </si>
  <si>
    <t>10月04日</t>
  </si>
  <si>
    <t>樹林國/高中</t>
  </si>
  <si>
    <t>6</t>
  </si>
  <si>
    <t>10月25日</t>
  </si>
  <si>
    <t>10月17日</t>
  </si>
  <si>
    <t>10月16日</t>
  </si>
  <si>
    <t>10月14日</t>
  </si>
  <si>
    <t>10月13日</t>
  </si>
  <si>
    <t>10月11日</t>
  </si>
  <si>
    <t>10月09日</t>
  </si>
  <si>
    <t>10月24日</t>
  </si>
  <si>
    <t>11月</t>
  </si>
  <si>
    <t>7</t>
  </si>
  <si>
    <t>11月01日</t>
  </si>
  <si>
    <t>11月07日</t>
  </si>
  <si>
    <t>11月06日</t>
  </si>
  <si>
    <t>11月04日</t>
  </si>
  <si>
    <t>11月3日</t>
  </si>
  <si>
    <t>8</t>
  </si>
  <si>
    <t>11月15日</t>
  </si>
  <si>
    <t>德霖大學</t>
  </si>
  <si>
    <t>11月14日</t>
  </si>
  <si>
    <t>11月13日</t>
  </si>
  <si>
    <t>北大高中</t>
  </si>
  <si>
    <t>11月11日</t>
  </si>
  <si>
    <t>11月10日</t>
  </si>
  <si>
    <t>11月08日</t>
  </si>
  <si>
    <t>台北大學</t>
  </si>
  <si>
    <t>12月</t>
  </si>
  <si>
    <t>9</t>
  </si>
  <si>
    <t>12月6日</t>
  </si>
  <si>
    <t>清水國高中</t>
  </si>
  <si>
    <t>12月05日</t>
  </si>
  <si>
    <t>12月18日</t>
  </si>
  <si>
    <t>12月2日</t>
  </si>
  <si>
    <t>12月1日</t>
  </si>
  <si>
    <t>12月06日</t>
  </si>
  <si>
    <t>12月04日</t>
  </si>
  <si>
    <t>清水國/高中</t>
  </si>
  <si>
    <t>10</t>
  </si>
  <si>
    <t>台北大學聖誕</t>
  </si>
  <si>
    <t>12月12日</t>
  </si>
  <si>
    <t>12月24日</t>
  </si>
  <si>
    <t>12月  日</t>
  </si>
  <si>
    <t>12月    日</t>
  </si>
  <si>
    <t>鶯歌國中</t>
  </si>
  <si>
    <t>11</t>
  </si>
  <si>
    <t>桃子腳國小聖誕</t>
  </si>
  <si>
    <t>1月</t>
  </si>
  <si>
    <t>樹人高職</t>
  </si>
  <si>
    <t>12</t>
  </si>
  <si>
    <t>1月3日</t>
  </si>
  <si>
    <t>01月03日</t>
  </si>
  <si>
    <t>01月08日</t>
  </si>
  <si>
    <t>01月06日</t>
  </si>
  <si>
    <t>01月   日</t>
  </si>
  <si>
    <t>女校</t>
  </si>
  <si>
    <t>三峽國中</t>
  </si>
  <si>
    <t>13</t>
  </si>
  <si>
    <t>1月10日</t>
  </si>
  <si>
    <t>01月10日</t>
  </si>
  <si>
    <t>01月15日</t>
  </si>
  <si>
    <t>01月13日</t>
  </si>
  <si>
    <t>02月05日</t>
  </si>
  <si>
    <t>2月</t>
  </si>
  <si>
    <t>土城國中</t>
  </si>
  <si>
    <t>02月20日</t>
  </si>
  <si>
    <t>因新冠狀病毒學校延後開學</t>
  </si>
  <si>
    <t>3月</t>
  </si>
  <si>
    <t>03月06 日</t>
  </si>
  <si>
    <t>樹林育林中學</t>
  </si>
  <si>
    <t>03月05日</t>
  </si>
  <si>
    <t>03月13日</t>
  </si>
  <si>
    <t>03月12日</t>
  </si>
  <si>
    <t>鶯歌工商</t>
  </si>
  <si>
    <t>鳳鳴國中</t>
  </si>
  <si>
    <t>14</t>
  </si>
  <si>
    <t>3月7日</t>
  </si>
  <si>
    <t>03月06日</t>
  </si>
  <si>
    <t>03月18 日</t>
  </si>
  <si>
    <t>03月3 日</t>
  </si>
  <si>
    <t>03月2 日</t>
  </si>
  <si>
    <t>4月</t>
  </si>
  <si>
    <t>04月10日</t>
  </si>
  <si>
    <t>15</t>
  </si>
  <si>
    <t>3月21日</t>
  </si>
  <si>
    <t>03月25日</t>
  </si>
  <si>
    <t>03月10日</t>
  </si>
  <si>
    <t>03月9日</t>
  </si>
  <si>
    <t>04月17日</t>
  </si>
  <si>
    <t>04月09日</t>
  </si>
  <si>
    <t>育林國中</t>
  </si>
  <si>
    <t>16</t>
  </si>
  <si>
    <t>4月11日</t>
  </si>
  <si>
    <t>04月03日</t>
  </si>
  <si>
    <t>04月08日</t>
  </si>
  <si>
    <t>04月07日</t>
  </si>
  <si>
    <t>04月13日</t>
  </si>
  <si>
    <t>5月</t>
  </si>
  <si>
    <t>05月01日</t>
  </si>
  <si>
    <t>鶯歌尖山國中</t>
  </si>
  <si>
    <t>中華中學</t>
  </si>
  <si>
    <t>17</t>
  </si>
  <si>
    <t>4月18日</t>
  </si>
  <si>
    <t>土城中華中學</t>
  </si>
  <si>
    <t>04月15日</t>
  </si>
  <si>
    <t>04月14日</t>
  </si>
  <si>
    <t>04月20日</t>
  </si>
  <si>
    <t>05月08日</t>
  </si>
  <si>
    <t>05月14日</t>
  </si>
  <si>
    <t>柑園國中</t>
  </si>
  <si>
    <t>18</t>
  </si>
  <si>
    <t>5月16日</t>
  </si>
  <si>
    <t>05月06日</t>
  </si>
  <si>
    <t>05月05日</t>
  </si>
  <si>
    <t>05月04日</t>
  </si>
  <si>
    <r>
      <rPr>
        <sz val="11"/>
        <color rgb="FF000000"/>
        <rFont val="Arial"/>
        <family val="2"/>
      </rPr>
      <t>6</t>
    </r>
    <r>
      <rPr>
        <sz val="11"/>
        <color rgb="FF000000"/>
        <rFont val="微軟正黑體"/>
        <family val="2"/>
        <charset val="136"/>
      </rPr>
      <t>月</t>
    </r>
  </si>
  <si>
    <t>06月    日</t>
  </si>
  <si>
    <t>清水國高中畢典</t>
  </si>
  <si>
    <t xml:space="preserve"> </t>
  </si>
  <si>
    <r>
      <rPr>
        <sz val="11"/>
        <color rgb="FF000000"/>
        <rFont val="Arial"/>
        <family val="2"/>
      </rPr>
      <t>6</t>
    </r>
    <r>
      <rPr>
        <sz val="11"/>
        <color rgb="FF000000"/>
        <rFont val="微軟正黑體"/>
        <family val="2"/>
        <charset val="136"/>
      </rPr>
      <t>月</t>
    </r>
  </si>
  <si>
    <t>尖山國中</t>
  </si>
  <si>
    <t>19</t>
  </si>
  <si>
    <t>5月23日</t>
  </si>
  <si>
    <t>樹林柑園中學</t>
  </si>
  <si>
    <t>05月13日</t>
  </si>
  <si>
    <t>05月12日</t>
  </si>
  <si>
    <t>05月11日</t>
  </si>
  <si>
    <t>樹林國高中畢典</t>
  </si>
  <si>
    <t>05月15日</t>
  </si>
  <si>
    <t>05月20日</t>
  </si>
  <si>
    <t>05月19日</t>
  </si>
  <si>
    <t>2016年度統計</t>
  </si>
  <si>
    <t>2017年度統計</t>
  </si>
  <si>
    <t>2017年度預算數量(目標6500本)</t>
  </si>
  <si>
    <t>2019-2020年度預算數量(目標5000本)</t>
  </si>
  <si>
    <t>2020-2021年度預算數量(目標5000本)</t>
  </si>
  <si>
    <t>2020-2021年度預算數量(目標    本)</t>
  </si>
  <si>
    <t>(1)地界學校贈經數量:22所4731本</t>
  </si>
  <si>
    <t>(1)地界學校贈經數量:18所4424本</t>
  </si>
  <si>
    <t>(1)地界學校贈經數量:19所4000本</t>
  </si>
  <si>
    <t>(1)地界學校贈經數量:19所3500本</t>
  </si>
  <si>
    <t>(1)地界學校贈經數量:19次4000本</t>
  </si>
  <si>
    <t>(1)地界學校贈經數量:   次     本</t>
  </si>
  <si>
    <t>(2)個人贈經數量:人本</t>
  </si>
  <si>
    <t>(2)個人贈經數量:人679本</t>
  </si>
  <si>
    <t>(2)個人贈經數量:人800本</t>
  </si>
  <si>
    <t>(2)個人贈經數量:人500本</t>
  </si>
  <si>
    <t>(2)個人贈經數量:    人    本</t>
  </si>
  <si>
    <t>2023-2024年度預算數量(目標         本)</t>
  </si>
  <si>
    <t>(3)診所藥局贈經數量</t>
  </si>
  <si>
    <t>(3)診所藥局贈經數量826本</t>
  </si>
  <si>
    <t>(3)診所藥局贈經數量1000本</t>
  </si>
  <si>
    <t>(3)診所藥局贈經數量500本</t>
  </si>
  <si>
    <t>(3)診所藥局贈經數量     本</t>
  </si>
  <si>
    <t>(1)地界學校贈經數量:       次        本</t>
  </si>
  <si>
    <t>(4)特殊活動:淡江大學聯合贈經700本</t>
  </si>
  <si>
    <t>(4)特殊活動:世大運聯合贈經1036本</t>
  </si>
  <si>
    <t xml:space="preserve">(4)特殊活動:   </t>
  </si>
  <si>
    <t>(2)個人贈經數量:        人        本</t>
  </si>
  <si>
    <t>(5)旅館:2016/11/16福容160本20173/18大板根240本</t>
  </si>
  <si>
    <t>(5)旅館:無</t>
  </si>
  <si>
    <t>(5)旅館:</t>
  </si>
  <si>
    <t>(3)診所藥局贈經數量          本</t>
  </si>
  <si>
    <t>(6)軍隊:2016/11/22陸軍修車廠120本學生中文</t>
  </si>
  <si>
    <t>(6)軍隊:20176/11/28鶯歌後勤補運訓練中心251本學生中文</t>
  </si>
  <si>
    <t>(6)軍隊:</t>
  </si>
  <si>
    <t>(7)警察:2018/3/18插角派出所20大字</t>
  </si>
  <si>
    <t>(7)警察:無</t>
  </si>
  <si>
    <t>(7)警察:</t>
  </si>
  <si>
    <t>(8)監所:2017/3/1少觀所200本學生中文</t>
  </si>
  <si>
    <t>(8)監所:無</t>
  </si>
  <si>
    <t>(8)監所:</t>
  </si>
  <si>
    <r>
      <rPr>
        <sz val="11"/>
        <color rgb="FF000000"/>
        <rFont val="Arial"/>
        <family val="2"/>
      </rPr>
      <t>6</t>
    </r>
    <r>
      <rPr>
        <sz val="11"/>
        <color rgb="FF000000"/>
        <rFont val="微軟正黑體"/>
        <family val="2"/>
        <charset val="136"/>
      </rPr>
      <t>月</t>
    </r>
  </si>
  <si>
    <r>
      <rPr>
        <b/>
        <sz val="16"/>
        <color theme="1"/>
        <rFont val="新細明體"/>
        <family val="1"/>
        <charset val="136"/>
      </rPr>
      <t xml:space="preserve">                         【</t>
    </r>
    <r>
      <rPr>
        <b/>
        <sz val="16"/>
        <color theme="1"/>
        <rFont val="新細明體"/>
        <family val="1"/>
        <charset val="136"/>
      </rPr>
      <t>總會紀錄形式</t>
    </r>
    <r>
      <rPr>
        <b/>
        <sz val="16"/>
        <color theme="1"/>
        <rFont val="新細明體"/>
        <family val="1"/>
        <charset val="136"/>
      </rPr>
      <t>】</t>
    </r>
    <r>
      <rPr>
        <b/>
        <sz val="16"/>
        <color theme="1"/>
        <rFont val="新細明體"/>
        <family val="1"/>
        <charset val="136"/>
      </rPr>
      <t xml:space="preserve">2017年度海山支會贈經明細 (2017年6月1日-2018年5月31日)                          </t>
    </r>
  </si>
  <si>
    <t>學測</t>
  </si>
  <si>
    <t>弟兄</t>
  </si>
  <si>
    <t>旅館</t>
  </si>
  <si>
    <t>軍隊</t>
  </si>
  <si>
    <t>警察</t>
  </si>
  <si>
    <t>監獄</t>
  </si>
  <si>
    <t>其他</t>
  </si>
  <si>
    <t>姊妹</t>
  </si>
  <si>
    <t>護士</t>
  </si>
  <si>
    <t>醫院</t>
  </si>
  <si>
    <t>女監</t>
  </si>
  <si>
    <t>本數</t>
  </si>
  <si>
    <t>比例</t>
  </si>
  <si>
    <t>次數</t>
  </si>
  <si>
    <r>
      <rPr>
        <b/>
        <sz val="12"/>
        <color theme="1"/>
        <rFont val="PMingLiu"/>
        <family val="1"/>
        <charset val="136"/>
      </rPr>
      <t xml:space="preserve">贈經總目標 </t>
    </r>
    <r>
      <rPr>
        <b/>
        <u/>
        <sz val="12"/>
        <color theme="1"/>
        <rFont val="新細明體"/>
        <family val="1"/>
        <charset val="136"/>
      </rPr>
      <t xml:space="preserve"> 7500 </t>
    </r>
    <r>
      <rPr>
        <b/>
        <sz val="12"/>
        <color theme="1"/>
        <rFont val="新細明體"/>
        <family val="1"/>
        <charset val="136"/>
      </rPr>
      <t xml:space="preserve">   贈經總數 </t>
    </r>
    <r>
      <rPr>
        <b/>
        <u/>
        <sz val="12"/>
        <color theme="1"/>
        <rFont val="新細明體"/>
        <family val="1"/>
        <charset val="136"/>
      </rPr>
      <t xml:space="preserve">  7512</t>
    </r>
    <r>
      <rPr>
        <b/>
        <sz val="12"/>
        <color theme="1"/>
        <rFont val="新細明體"/>
        <family val="1"/>
        <charset val="136"/>
      </rPr>
      <t xml:space="preserve">   總達成率  </t>
    </r>
    <r>
      <rPr>
        <b/>
        <u/>
        <sz val="12"/>
        <color theme="1"/>
        <rFont val="新細明體"/>
        <family val="1"/>
        <charset val="136"/>
      </rPr>
      <t xml:space="preserve">  100.16 </t>
    </r>
    <r>
      <rPr>
        <b/>
        <u/>
        <sz val="12"/>
        <color theme="1"/>
        <rFont val="新細明體"/>
        <family val="1"/>
        <charset val="136"/>
      </rPr>
      <t>%</t>
    </r>
    <r>
      <rPr>
        <b/>
        <sz val="12"/>
        <color theme="1"/>
        <rFont val="新細明體"/>
        <family val="1"/>
        <charset val="136"/>
      </rPr>
      <t xml:space="preserve">   姊妹贈經總目標 </t>
    </r>
    <r>
      <rPr>
        <b/>
        <u/>
        <sz val="12"/>
        <color theme="1"/>
        <rFont val="新細明體"/>
        <family val="1"/>
        <charset val="136"/>
      </rPr>
      <t xml:space="preserve">  1000    </t>
    </r>
    <r>
      <rPr>
        <b/>
        <sz val="12"/>
        <color theme="1"/>
        <rFont val="新細明體"/>
        <family val="1"/>
        <charset val="136"/>
      </rPr>
      <t xml:space="preserve">  姊妹總數  </t>
    </r>
    <r>
      <rPr>
        <b/>
        <u/>
        <sz val="12"/>
        <color theme="1"/>
        <rFont val="新細明體"/>
        <family val="1"/>
        <charset val="136"/>
      </rPr>
      <t xml:space="preserve">  1281  </t>
    </r>
    <r>
      <rPr>
        <b/>
        <sz val="12"/>
        <color theme="1"/>
        <rFont val="新細明體"/>
        <family val="1"/>
        <charset val="136"/>
      </rPr>
      <t xml:space="preserve">  總達成率</t>
    </r>
    <r>
      <rPr>
        <b/>
        <u/>
        <sz val="12"/>
        <color theme="1"/>
        <rFont val="新細明體"/>
        <family val="1"/>
        <charset val="136"/>
      </rPr>
      <t xml:space="preserve"> 128.1 %</t>
    </r>
    <r>
      <rPr>
        <b/>
        <sz val="12"/>
        <color theme="1"/>
        <rFont val="新細明體"/>
        <family val="1"/>
        <charset val="136"/>
      </rPr>
      <t xml:space="preserve">                   </t>
    </r>
  </si>
  <si>
    <t>地點/名稱</t>
  </si>
  <si>
    <t>講員</t>
  </si>
  <si>
    <t>學生中文</t>
  </si>
  <si>
    <t>迷彩中文</t>
  </si>
  <si>
    <t>學生中英</t>
  </si>
  <si>
    <t>大字中文</t>
  </si>
  <si>
    <t>大字中英</t>
  </si>
  <si>
    <t>金邊中英</t>
  </si>
  <si>
    <t>護士中文</t>
  </si>
  <si>
    <t>監獄中文</t>
  </si>
  <si>
    <t>印尼文</t>
  </si>
  <si>
    <t>越南文</t>
  </si>
  <si>
    <t>菲律賓文</t>
  </si>
  <si>
    <t>泰國文</t>
  </si>
  <si>
    <t>簡體中文</t>
  </si>
  <si>
    <t>柬埔寨文</t>
  </si>
  <si>
    <t>日英文</t>
  </si>
  <si>
    <t>禮物紅</t>
  </si>
  <si>
    <t>禮物藍</t>
  </si>
  <si>
    <t>禮物灰</t>
  </si>
  <si>
    <t>06月05日</t>
  </si>
  <si>
    <t>三峽醫院診所280本</t>
  </si>
  <si>
    <t>黃哲斌個人贈經40本</t>
  </si>
  <si>
    <t>主恩診所于正宗醫師208本</t>
  </si>
  <si>
    <t>台北大學畢業典禮贈經209本</t>
  </si>
  <si>
    <t>中正國中畢業典禮贈經184本</t>
  </si>
  <si>
    <t>06月14日</t>
  </si>
  <si>
    <t>陳啟謙個人贈經5本</t>
  </si>
  <si>
    <t>06月17日</t>
  </si>
  <si>
    <t>療養收容機構48本</t>
  </si>
  <si>
    <t>06月26日</t>
  </si>
  <si>
    <t>黃哲斌個人贈經20本</t>
  </si>
  <si>
    <t>07月03日</t>
  </si>
  <si>
    <t>陳啟謙個人贈經74本</t>
  </si>
  <si>
    <t>07月07日</t>
  </si>
  <si>
    <t>陳啟謙個人贈經140本</t>
  </si>
  <si>
    <t>詹小紅個人贈經20本</t>
  </si>
  <si>
    <t>07月08日</t>
  </si>
  <si>
    <t>潘建庭個人贈經25本</t>
  </si>
  <si>
    <t>07月15日</t>
  </si>
  <si>
    <t>主恩診所于正宗醫師62本</t>
  </si>
  <si>
    <t>08月10日</t>
  </si>
  <si>
    <t>陳啟謙個人贈經80本</t>
  </si>
  <si>
    <t>08月19日</t>
  </si>
  <si>
    <t>世大運贈經129本</t>
  </si>
  <si>
    <t>08月21日</t>
  </si>
  <si>
    <t>世大運贈經371本</t>
  </si>
  <si>
    <t>08月23日</t>
  </si>
  <si>
    <t>世大運贈經283本</t>
  </si>
  <si>
    <t>08月29日</t>
  </si>
  <si>
    <t>世大運贈經253本</t>
  </si>
  <si>
    <t>詹小紅個人贈經75本</t>
  </si>
  <si>
    <t>北大國高中贈經240本</t>
  </si>
  <si>
    <t>安溪國中贈經227本</t>
  </si>
  <si>
    <t>新北高工贈經211本</t>
  </si>
  <si>
    <t>樹林國高中贈經400本</t>
  </si>
  <si>
    <t>明德中學贈經199本</t>
  </si>
  <si>
    <t>德霖大學贈經284本</t>
  </si>
  <si>
    <t>鶯歌後勤補運訓練中心251本</t>
  </si>
  <si>
    <t>李淑媛</t>
  </si>
  <si>
    <t>王木林送主恩個人贈經50本</t>
  </si>
  <si>
    <t>清水國高中600本</t>
  </si>
  <si>
    <t>黃家瑋個人贈經20本</t>
  </si>
  <si>
    <t>台北大學聖誕贈經446本</t>
  </si>
  <si>
    <t>桃子腳國小聖誕懇親80本</t>
  </si>
  <si>
    <t>土城佳音社區聖誕懇親20本</t>
  </si>
  <si>
    <t>三峽真道教會社區聖誕懇親25本</t>
  </si>
  <si>
    <t>鶯歌國中贈經360本</t>
  </si>
  <si>
    <t>王連丁個人贈經40本</t>
  </si>
  <si>
    <t>樹人高職贈經220本</t>
  </si>
  <si>
    <t>2月28日</t>
  </si>
  <si>
    <t>主恩診所于正宗醫師88本</t>
  </si>
  <si>
    <t>鳳鳴國中贈經256本</t>
  </si>
  <si>
    <t>三多國中240本</t>
  </si>
  <si>
    <t>3月25日</t>
  </si>
  <si>
    <t>主恩診所于正宗醫師90本</t>
  </si>
  <si>
    <t>樹林育林中學贈經188本</t>
  </si>
  <si>
    <t>4月14日</t>
  </si>
  <si>
    <t>姊妹鶯歌國慶街診所贈經140本</t>
  </si>
  <si>
    <t>土城中華中學贈經120本</t>
  </si>
  <si>
    <t>鶯歌尖山國中160本</t>
  </si>
  <si>
    <t>樹林柑園中學51本</t>
  </si>
  <si>
    <r>
      <rPr>
        <sz val="16"/>
        <color rgb="FF000000"/>
        <rFont val="PMingLiu"/>
        <family val="1"/>
        <charset val="136"/>
      </rPr>
      <t xml:space="preserve">                         【</t>
    </r>
    <r>
      <rPr>
        <sz val="16"/>
        <color rgb="FF000000"/>
        <rFont val="新細明體"/>
        <family val="1"/>
        <charset val="136"/>
      </rPr>
      <t>總會紀錄形式</t>
    </r>
    <r>
      <rPr>
        <sz val="16"/>
        <color rgb="FF000000"/>
        <rFont val="新細明體"/>
        <family val="1"/>
        <charset val="136"/>
      </rPr>
      <t>】</t>
    </r>
    <r>
      <rPr>
        <sz val="16"/>
        <color rgb="FF000000"/>
        <rFont val="新細明體"/>
        <family val="1"/>
        <charset val="136"/>
      </rPr>
      <t xml:space="preserve">18-19年度海山支會贈經明細 (2018年6月1日-2019年5月31日)                          </t>
    </r>
  </si>
  <si>
    <r>
      <rPr>
        <b/>
        <sz val="12"/>
        <color rgb="FF000000"/>
        <rFont val="PMingLiu"/>
        <family val="1"/>
        <charset val="136"/>
      </rPr>
      <t xml:space="preserve">贈經總目標 </t>
    </r>
    <r>
      <rPr>
        <sz val="12"/>
        <color rgb="FF000000"/>
        <rFont val="新細明體"/>
        <family val="1"/>
        <charset val="136"/>
      </rPr>
      <t xml:space="preserve"> 6500 </t>
    </r>
    <r>
      <rPr>
        <sz val="12"/>
        <color rgb="FF000000"/>
        <rFont val="新細明體"/>
        <family val="1"/>
        <charset val="136"/>
      </rPr>
      <t xml:space="preserve">   贈經總數 </t>
    </r>
    <r>
      <rPr>
        <sz val="12"/>
        <color rgb="FF000000"/>
        <rFont val="新細明體"/>
        <family val="1"/>
        <charset val="136"/>
      </rPr>
      <t xml:space="preserve"> 5826    </t>
    </r>
    <r>
      <rPr>
        <sz val="12"/>
        <color rgb="FF000000"/>
        <rFont val="新細明體"/>
        <family val="1"/>
        <charset val="136"/>
      </rPr>
      <t xml:space="preserve">   總達成率  </t>
    </r>
    <r>
      <rPr>
        <sz val="12"/>
        <color rgb="FF000000"/>
        <rFont val="新細明體"/>
        <family val="1"/>
        <charset val="136"/>
      </rPr>
      <t xml:space="preserve">  90      </t>
    </r>
    <r>
      <rPr>
        <sz val="12"/>
        <color rgb="FF000000"/>
        <rFont val="新細明體"/>
        <family val="1"/>
        <charset val="136"/>
      </rPr>
      <t>%</t>
    </r>
    <r>
      <rPr>
        <sz val="12"/>
        <color rgb="FF000000"/>
        <rFont val="新細明體"/>
        <family val="1"/>
        <charset val="136"/>
      </rPr>
      <t xml:space="preserve">   姊妹贈經總目標 </t>
    </r>
    <r>
      <rPr>
        <sz val="12"/>
        <color rgb="FF000000"/>
        <rFont val="新細明體"/>
        <family val="1"/>
        <charset val="136"/>
      </rPr>
      <t xml:space="preserve">  500    </t>
    </r>
    <r>
      <rPr>
        <sz val="12"/>
        <color rgb="FF000000"/>
        <rFont val="新細明體"/>
        <family val="1"/>
        <charset val="136"/>
      </rPr>
      <t xml:space="preserve">  姊妹總數  </t>
    </r>
    <r>
      <rPr>
        <sz val="12"/>
        <color rgb="FF000000"/>
        <rFont val="新細明體"/>
        <family val="1"/>
        <charset val="136"/>
      </rPr>
      <t xml:space="preserve">   580  </t>
    </r>
    <r>
      <rPr>
        <sz val="12"/>
        <color rgb="FF000000"/>
        <rFont val="新細明體"/>
        <family val="1"/>
        <charset val="136"/>
      </rPr>
      <t xml:space="preserve">  總達成率</t>
    </r>
    <r>
      <rPr>
        <sz val="12"/>
        <color rgb="FF000000"/>
        <rFont val="新細明體"/>
        <family val="1"/>
        <charset val="136"/>
      </rPr>
      <t xml:space="preserve">  116   %</t>
    </r>
    <r>
      <rPr>
        <sz val="12"/>
        <color rgb="FF000000"/>
        <rFont val="新細明體"/>
        <family val="1"/>
        <charset val="136"/>
      </rPr>
      <t xml:space="preserve">                   </t>
    </r>
  </si>
  <si>
    <t>6月9日</t>
  </si>
  <si>
    <t>台北大學畢業典禮贈經327本</t>
  </si>
  <si>
    <t>6月24日</t>
  </si>
  <si>
    <t>陳啟謙個人贈經20本</t>
  </si>
  <si>
    <t>收容機構</t>
  </si>
  <si>
    <t>外籍收容所(余醫師)70本</t>
  </si>
  <si>
    <t>詹小紅個人贈經45本</t>
  </si>
  <si>
    <t>安溪國中贈經100本</t>
  </si>
  <si>
    <t>北大國高中贈經126本</t>
  </si>
  <si>
    <t>土城中正國中贈經240本</t>
  </si>
  <si>
    <t>外籍收容所(余醫師)80本</t>
  </si>
  <si>
    <t>新北高工贈經80本</t>
  </si>
  <si>
    <t>樹林國高中贈經375本</t>
  </si>
  <si>
    <t>三峽明德中學贈經181本</t>
  </si>
  <si>
    <t>黃哲斌個人贈經23本</t>
  </si>
  <si>
    <t>外籍收容所(余醫師)30本</t>
  </si>
  <si>
    <t>陳啟謙個人贈經30本</t>
  </si>
  <si>
    <t>宏國德霖技術大學209本</t>
  </si>
  <si>
    <t>醫療機構</t>
  </si>
  <si>
    <t>樹林醫療院所305本</t>
  </si>
  <si>
    <t>土城清水國高中560本</t>
  </si>
  <si>
    <t>台北大學548本</t>
  </si>
  <si>
    <t>連騰耀個人贈經200本</t>
  </si>
  <si>
    <t>鶯歌國中贈經363本</t>
  </si>
  <si>
    <t>樹人高職贈經267本</t>
  </si>
  <si>
    <t>土城國中贈經200本</t>
  </si>
  <si>
    <t>柑園國中演講贈經40本</t>
  </si>
  <si>
    <t>三峽國中贈經360本</t>
  </si>
  <si>
    <t>詹小紅個人贈經50本</t>
  </si>
  <si>
    <t>鳳鳴國中贈經157本</t>
  </si>
  <si>
    <t>三多國中贈經250本</t>
  </si>
  <si>
    <t>育林國中贈經240本</t>
  </si>
  <si>
    <t>于正宗醫師個人贈經40本</t>
  </si>
  <si>
    <t>陳啟謙個人贈經170本</t>
  </si>
  <si>
    <t>尖山國中贈經80本</t>
  </si>
  <si>
    <t>中華中學贈經40本</t>
  </si>
  <si>
    <t xml:space="preserve">                         【總會紀錄形式】19-20年度海山支會贈經明細 (2019年6月1日-2020年5月31日)                          </t>
  </si>
  <si>
    <t xml:space="preserve">贈經總目標  </t>
  </si>
  <si>
    <t>贈經總數</t>
  </si>
  <si>
    <t>總達成率</t>
  </si>
  <si>
    <t>姊妹目標</t>
  </si>
  <si>
    <t xml:space="preserve">達成率 </t>
  </si>
  <si>
    <t>土城區清水國高中學畢業典禮贈經200本</t>
  </si>
  <si>
    <t>台北大學畢業典禮贈經335本</t>
  </si>
  <si>
    <t>收容機構-姊妹</t>
  </si>
  <si>
    <t>外籍收容所(三峽于正宗醫師)200本</t>
  </si>
  <si>
    <t>醫療機構-姊妹</t>
  </si>
  <si>
    <t>陳醫師40本</t>
  </si>
  <si>
    <t>葉醫師120本</t>
  </si>
  <si>
    <t>詹小紅個人贈經43本(樹林獨居中秋)</t>
  </si>
  <si>
    <t>賀元診所80本</t>
  </si>
  <si>
    <t>診所60本</t>
  </si>
  <si>
    <t>三多國中贈經254本</t>
  </si>
  <si>
    <t>樹林區樹林中學贈經440本</t>
  </si>
  <si>
    <t>診所40本</t>
  </si>
  <si>
    <t>土城區中正國中贈經320本</t>
  </si>
  <si>
    <t>土城區新北高工贈經200本</t>
  </si>
  <si>
    <t>三峽區明德中學贈經131本</t>
  </si>
  <si>
    <t>三峽區北大高中贈經143本</t>
  </si>
  <si>
    <t>北國之春贈經40本</t>
  </si>
  <si>
    <t>201/12/17</t>
  </si>
  <si>
    <t>三峽于正宗醫師80本</t>
  </si>
  <si>
    <t>黃哲斌個人贈經60本</t>
  </si>
  <si>
    <t>土城區清水國高中399本</t>
  </si>
  <si>
    <t>台北大學448本</t>
  </si>
  <si>
    <t>鶯歌國中贈經387本</t>
  </si>
  <si>
    <t>樹人高職贈經204本</t>
  </si>
  <si>
    <t>陳啟謙個人贈經12本</t>
  </si>
  <si>
    <t>徐寶芳姊妹個人贈經40本</t>
  </si>
  <si>
    <t>總和</t>
  </si>
  <si>
    <t>2026-2027年度學校(2026/6/1-2027/5/31)贈經計畫規劃</t>
    <phoneticPr fontId="26" type="noConversion"/>
  </si>
  <si>
    <t>三</t>
    <phoneticPr fontId="26" type="noConversion"/>
  </si>
  <si>
    <t>09月02日</t>
    <phoneticPr fontId="26" type="noConversion"/>
  </si>
  <si>
    <t>10月07日</t>
    <phoneticPr fontId="26" type="noConversion"/>
  </si>
  <si>
    <t>10月14日</t>
    <phoneticPr fontId="26" type="noConversion"/>
  </si>
  <si>
    <t>11月04日</t>
    <phoneticPr fontId="26" type="noConversion"/>
  </si>
  <si>
    <t>11月11日</t>
    <phoneticPr fontId="26" type="noConversion"/>
  </si>
  <si>
    <t>12月02日</t>
    <phoneticPr fontId="26" type="noConversion"/>
  </si>
  <si>
    <t>12月09日</t>
    <phoneticPr fontId="26" type="noConversion"/>
  </si>
  <si>
    <t>01月06日</t>
    <phoneticPr fontId="26" type="noConversion"/>
  </si>
  <si>
    <t>01月13日</t>
    <phoneticPr fontId="26" type="noConversion"/>
  </si>
  <si>
    <t>03月03日</t>
    <phoneticPr fontId="26" type="noConversion"/>
  </si>
  <si>
    <t>03月10日</t>
    <phoneticPr fontId="26" type="noConversion"/>
  </si>
  <si>
    <t>04月07日</t>
    <phoneticPr fontId="26" type="noConversion"/>
  </si>
  <si>
    <t>04月14日</t>
    <phoneticPr fontId="26" type="noConversion"/>
  </si>
  <si>
    <t>05月05日</t>
    <phoneticPr fontId="26" type="noConversion"/>
  </si>
  <si>
    <t>05月12日</t>
    <phoneticPr fontId="26" type="noConversion"/>
  </si>
  <si>
    <t xml:space="preserve"> </t>
    <phoneticPr fontId="26" type="noConversion"/>
  </si>
  <si>
    <t xml:space="preserve">     </t>
    <phoneticPr fontId="26" type="noConversion"/>
  </si>
  <si>
    <t>09月09日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</si>
</sst>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"/>
    <numFmt numFmtId="177" formatCode="m&quot;月&quot;d&quot;日&quot;"/>
    <numFmt numFmtId="178" formatCode="0.0%"/>
  </numFmts>
  <fonts count="27">
    <font>
      <sz val="11"/>
      <color rgb="FF000000"/>
      <name val="Calibri"/>
      <scheme val="minor"/>
    </font>
    <font>
      <b/>
      <sz val="12"/>
      <color rgb="FF000000"/>
      <name val="PMingLiu"/>
      <family val="1"/>
      <charset val="136"/>
    </font>
    <font>
      <sz val="11"/>
      <name val="Calibri"/>
      <family val="2"/>
    </font>
    <font>
      <sz val="12"/>
      <color rgb="FF000000"/>
      <name val="PMingLiu"/>
      <family val="1"/>
      <charset val="136"/>
    </font>
    <font>
      <sz val="12"/>
      <color theme="0"/>
      <name val="PMingLiu"/>
      <family val="1"/>
      <charset val="136"/>
    </font>
    <font>
      <b/>
      <sz val="10"/>
      <color rgb="FF000000"/>
      <name val="PMingLiu"/>
      <family val="1"/>
      <charset val="136"/>
    </font>
    <font>
      <b/>
      <sz val="10"/>
      <color rgb="FFFFFFFF"/>
      <name val="PMingLiu"/>
      <family val="1"/>
      <charset val="136"/>
    </font>
    <font>
      <b/>
      <sz val="10"/>
      <color theme="1"/>
      <name val="PMingLiu"/>
      <family val="1"/>
      <charset val="136"/>
    </font>
    <font>
      <sz val="12"/>
      <color rgb="FFFFFFFF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rgb="FF000000"/>
      <name val="Arimo"/>
    </font>
    <font>
      <sz val="11"/>
      <color rgb="FF000000"/>
      <name val="Arial"/>
      <family val="2"/>
    </font>
    <font>
      <sz val="12"/>
      <color rgb="FFC00000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0"/>
      <color theme="0"/>
      <name val="PMingLiu"/>
      <family val="1"/>
      <charset val="136"/>
    </font>
    <font>
      <sz val="16"/>
      <color rgb="FF000000"/>
      <name val="PMingLiu"/>
      <family val="1"/>
      <charset val="136"/>
    </font>
    <font>
      <sz val="12"/>
      <color rgb="FFFFFFFF"/>
      <name val="DFKai-SB"/>
    </font>
    <font>
      <sz val="11"/>
      <color theme="1"/>
      <name val="Calibri"/>
      <family val="2"/>
      <scheme val="minor"/>
    </font>
    <font>
      <sz val="11"/>
      <color rgb="FF000000"/>
      <name val="MingLiu"/>
      <family val="3"/>
      <charset val="136"/>
    </font>
    <font>
      <sz val="11"/>
      <color rgb="FF000000"/>
      <name val="微軟正黑體"/>
      <family val="2"/>
      <charset val="136"/>
    </font>
    <font>
      <b/>
      <sz val="16"/>
      <color theme="1"/>
      <name val="新細明體"/>
      <family val="1"/>
      <charset val="136"/>
    </font>
    <font>
      <b/>
      <u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6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9"/>
      <name val="Calibri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737373"/>
        <bgColor rgb="FF737373"/>
      </patternFill>
    </fill>
    <fill>
      <patternFill patternType="solid">
        <fgColor rgb="FF938953"/>
        <bgColor rgb="FF938953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9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ck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ck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vertic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right" vertical="center" wrapText="1"/>
    </xf>
    <xf numFmtId="0" fontId="6" fillId="5" borderId="14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5" borderId="15" xfId="0" applyFont="1" applyFill="1" applyBorder="1" applyAlignment="1">
      <alignment horizontal="right" vertical="center" wrapText="1"/>
    </xf>
    <xf numFmtId="49" fontId="3" fillId="0" borderId="16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vertical="center"/>
    </xf>
    <xf numFmtId="49" fontId="5" fillId="4" borderId="13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right" vertical="center"/>
    </xf>
    <xf numFmtId="0" fontId="7" fillId="6" borderId="17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7" fontId="3" fillId="4" borderId="20" xfId="0" applyNumberFormat="1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20" fontId="3" fillId="4" borderId="20" xfId="0" applyNumberFormat="1" applyFont="1" applyFill="1" applyBorder="1" applyAlignment="1">
      <alignment horizontal="center" vertical="center"/>
    </xf>
    <xf numFmtId="176" fontId="1" fillId="0" borderId="23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8" borderId="2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8" fillId="5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20" fontId="3" fillId="0" borderId="20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7" borderId="19" xfId="0" applyFont="1" applyFill="1" applyBorder="1" applyAlignment="1">
      <alignment vertical="center"/>
    </xf>
    <xf numFmtId="49" fontId="3" fillId="0" borderId="20" xfId="0" applyNumberFormat="1" applyFont="1" applyBorder="1" applyAlignment="1">
      <alignment horizontal="center" vertical="center"/>
    </xf>
    <xf numFmtId="20" fontId="3" fillId="0" borderId="20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7" borderId="15" xfId="0" applyFont="1" applyFill="1" applyBorder="1" applyAlignment="1">
      <alignment vertical="center"/>
    </xf>
    <xf numFmtId="0" fontId="3" fillId="7" borderId="25" xfId="0" applyFont="1" applyFill="1" applyBorder="1" applyAlignment="1">
      <alignment vertical="center"/>
    </xf>
    <xf numFmtId="0" fontId="9" fillId="9" borderId="20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right" vertical="center"/>
    </xf>
    <xf numFmtId="177" fontId="3" fillId="4" borderId="21" xfId="0" applyNumberFormat="1" applyFont="1" applyFill="1" applyBorder="1" applyAlignment="1">
      <alignment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vertical="center"/>
    </xf>
    <xf numFmtId="20" fontId="3" fillId="4" borderId="20" xfId="0" applyNumberFormat="1" applyFont="1" applyFill="1" applyBorder="1" applyAlignment="1">
      <alignment vertical="center"/>
    </xf>
    <xf numFmtId="0" fontId="3" fillId="7" borderId="24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29" xfId="0" applyFont="1" applyBorder="1" applyAlignment="1">
      <alignment horizontal="left" vertical="center"/>
    </xf>
    <xf numFmtId="0" fontId="11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3" fillId="10" borderId="25" xfId="0" applyFont="1" applyFill="1" applyBorder="1" applyAlignment="1">
      <alignment vertical="center"/>
    </xf>
    <xf numFmtId="0" fontId="9" fillId="11" borderId="20" xfId="0" applyFont="1" applyFill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49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177" fontId="3" fillId="4" borderId="20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1" fillId="0" borderId="3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3" xfId="0" applyFont="1" applyBorder="1" applyAlignment="1">
      <alignment horizontal="right" vertical="center"/>
    </xf>
    <xf numFmtId="0" fontId="3" fillId="10" borderId="19" xfId="0" applyFont="1" applyFill="1" applyBorder="1" applyAlignment="1">
      <alignment vertical="center"/>
    </xf>
    <xf numFmtId="0" fontId="3" fillId="0" borderId="26" xfId="0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center" vertical="center"/>
    </xf>
    <xf numFmtId="0" fontId="3" fillId="10" borderId="24" xfId="0" applyFont="1" applyFill="1" applyBorder="1" applyAlignment="1">
      <alignment vertical="center"/>
    </xf>
    <xf numFmtId="0" fontId="3" fillId="10" borderId="40" xfId="0" applyFont="1" applyFill="1" applyBorder="1" applyAlignment="1">
      <alignment vertical="center"/>
    </xf>
    <xf numFmtId="0" fontId="3" fillId="0" borderId="39" xfId="0" applyFont="1" applyBorder="1" applyAlignment="1">
      <alignment horizontal="right" vertical="center"/>
    </xf>
    <xf numFmtId="177" fontId="3" fillId="0" borderId="20" xfId="0" applyNumberFormat="1" applyFont="1" applyBorder="1" applyAlignment="1">
      <alignment horizontal="center" vertical="center"/>
    </xf>
    <xf numFmtId="176" fontId="1" fillId="0" borderId="23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49" fontId="1" fillId="7" borderId="19" xfId="0" applyNumberFormat="1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vertical="center"/>
    </xf>
    <xf numFmtId="0" fontId="3" fillId="12" borderId="15" xfId="0" applyFont="1" applyFill="1" applyBorder="1" applyAlignment="1">
      <alignment vertical="center"/>
    </xf>
    <xf numFmtId="0" fontId="3" fillId="12" borderId="25" xfId="0" applyFont="1" applyFill="1" applyBorder="1" applyAlignment="1">
      <alignment vertical="center"/>
    </xf>
    <xf numFmtId="49" fontId="1" fillId="7" borderId="24" xfId="0" applyNumberFormat="1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vertical="center"/>
    </xf>
    <xf numFmtId="0" fontId="8" fillId="10" borderId="45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vertical="center"/>
    </xf>
    <xf numFmtId="49" fontId="3" fillId="10" borderId="45" xfId="0" applyNumberFormat="1" applyFont="1" applyFill="1" applyBorder="1" applyAlignment="1">
      <alignment horizontal="center" vertical="center"/>
    </xf>
    <xf numFmtId="20" fontId="3" fillId="10" borderId="45" xfId="0" applyNumberFormat="1" applyFont="1" applyFill="1" applyBorder="1" applyAlignment="1">
      <alignment horizontal="right" vertical="center"/>
    </xf>
    <xf numFmtId="0" fontId="3" fillId="10" borderId="46" xfId="0" applyFont="1" applyFill="1" applyBorder="1" applyAlignment="1">
      <alignment horizontal="right" vertical="center"/>
    </xf>
    <xf numFmtId="0" fontId="3" fillId="10" borderId="15" xfId="0" applyFont="1" applyFill="1" applyBorder="1" applyAlignment="1">
      <alignment horizontal="right" vertical="center"/>
    </xf>
    <xf numFmtId="0" fontId="12" fillId="10" borderId="45" xfId="0" applyFont="1" applyFill="1" applyBorder="1" applyAlignment="1">
      <alignment horizontal="center" vertical="center"/>
    </xf>
    <xf numFmtId="0" fontId="3" fillId="10" borderId="47" xfId="0" applyFont="1" applyFill="1" applyBorder="1" applyAlignment="1">
      <alignment horizontal="right" vertical="center"/>
    </xf>
    <xf numFmtId="177" fontId="3" fillId="0" borderId="20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horizontal="center" vertical="center"/>
    </xf>
    <xf numFmtId="0" fontId="3" fillId="10" borderId="15" xfId="0" applyFont="1" applyFill="1" applyBorder="1" applyAlignment="1">
      <alignment vertical="center"/>
    </xf>
    <xf numFmtId="177" fontId="3" fillId="4" borderId="20" xfId="0" applyNumberFormat="1" applyFont="1" applyFill="1" applyBorder="1" applyAlignment="1">
      <alignment horizontal="left" vertical="center"/>
    </xf>
    <xf numFmtId="49" fontId="1" fillId="8" borderId="19" xfId="0" applyNumberFormat="1" applyFont="1" applyFill="1" applyBorder="1" applyAlignment="1">
      <alignment horizontal="center" vertical="center"/>
    </xf>
    <xf numFmtId="177" fontId="3" fillId="0" borderId="20" xfId="0" applyNumberFormat="1" applyFont="1" applyBorder="1" applyAlignment="1">
      <alignment horizontal="left" vertical="center"/>
    </xf>
    <xf numFmtId="20" fontId="3" fillId="0" borderId="20" xfId="0" applyNumberFormat="1" applyFont="1" applyBorder="1" applyAlignment="1">
      <alignment vertical="center" wrapText="1"/>
    </xf>
    <xf numFmtId="20" fontId="3" fillId="0" borderId="20" xfId="0" applyNumberFormat="1" applyFont="1" applyBorder="1" applyAlignment="1">
      <alignment horizontal="right" vertical="center" wrapText="1"/>
    </xf>
    <xf numFmtId="0" fontId="3" fillId="7" borderId="40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9" fillId="13" borderId="20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vertical="center"/>
    </xf>
    <xf numFmtId="177" fontId="3" fillId="4" borderId="49" xfId="0" applyNumberFormat="1" applyFont="1" applyFill="1" applyBorder="1" applyAlignment="1">
      <alignment horizontal="center" vertical="center"/>
    </xf>
    <xf numFmtId="0" fontId="11" fillId="0" borderId="50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49" fontId="3" fillId="4" borderId="20" xfId="0" applyNumberFormat="1" applyFont="1" applyFill="1" applyBorder="1" applyAlignment="1">
      <alignment horizontal="center" vertical="center"/>
    </xf>
    <xf numFmtId="20" fontId="3" fillId="4" borderId="20" xfId="0" applyNumberFormat="1" applyFont="1" applyFill="1" applyBorder="1" applyAlignment="1">
      <alignment horizontal="right" vertical="center"/>
    </xf>
    <xf numFmtId="0" fontId="3" fillId="7" borderId="52" xfId="0" applyFont="1" applyFill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49" fontId="3" fillId="0" borderId="56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horizontal="right" vertical="center"/>
    </xf>
    <xf numFmtId="0" fontId="3" fillId="0" borderId="57" xfId="0" applyFont="1" applyBorder="1" applyAlignment="1">
      <alignment horizontal="right"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49" fontId="3" fillId="0" borderId="59" xfId="0" applyNumberFormat="1" applyFont="1" applyBorder="1" applyAlignment="1">
      <alignment horizontal="center" vertical="center"/>
    </xf>
    <xf numFmtId="0" fontId="3" fillId="0" borderId="59" xfId="0" applyFont="1" applyBorder="1" applyAlignment="1">
      <alignment horizontal="right" vertical="center"/>
    </xf>
    <xf numFmtId="0" fontId="3" fillId="0" borderId="60" xfId="0" applyFont="1" applyBorder="1" applyAlignment="1">
      <alignment horizontal="right" vertical="center"/>
    </xf>
    <xf numFmtId="0" fontId="3" fillId="0" borderId="61" xfId="0" applyFont="1" applyBorder="1" applyAlignment="1">
      <alignment vertical="center"/>
    </xf>
    <xf numFmtId="177" fontId="3" fillId="0" borderId="0" xfId="0" applyNumberFormat="1" applyFont="1" applyAlignment="1">
      <alignment vertical="center"/>
    </xf>
    <xf numFmtId="20" fontId="3" fillId="4" borderId="21" xfId="0" applyNumberFormat="1" applyFont="1" applyFill="1" applyBorder="1" applyAlignment="1">
      <alignment horizontal="center" vertical="center"/>
    </xf>
    <xf numFmtId="176" fontId="1" fillId="0" borderId="62" xfId="0" applyNumberFormat="1" applyFont="1" applyBorder="1" applyAlignment="1">
      <alignment vertical="center"/>
    </xf>
    <xf numFmtId="0" fontId="3" fillId="0" borderId="63" xfId="0" applyFont="1" applyBorder="1" applyAlignment="1">
      <alignment horizontal="right" vertical="center"/>
    </xf>
    <xf numFmtId="49" fontId="3" fillId="8" borderId="19" xfId="0" applyNumberFormat="1" applyFont="1" applyFill="1" applyBorder="1" applyAlignment="1">
      <alignment horizontal="center" vertical="center"/>
    </xf>
    <xf numFmtId="20" fontId="3" fillId="0" borderId="64" xfId="0" applyNumberFormat="1" applyFont="1" applyBorder="1" applyAlignment="1">
      <alignment vertical="center"/>
    </xf>
    <xf numFmtId="49" fontId="3" fillId="8" borderId="24" xfId="0" applyNumberFormat="1" applyFont="1" applyFill="1" applyBorder="1" applyAlignment="1">
      <alignment horizontal="center" vertical="center"/>
    </xf>
    <xf numFmtId="0" fontId="11" fillId="0" borderId="61" xfId="0" applyFont="1" applyBorder="1" applyAlignment="1">
      <alignment vertical="center"/>
    </xf>
    <xf numFmtId="177" fontId="3" fillId="0" borderId="0" xfId="0" applyNumberFormat="1" applyFont="1" applyAlignment="1">
      <alignment horizontal="left" vertical="center"/>
    </xf>
    <xf numFmtId="0" fontId="8" fillId="10" borderId="15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right" vertical="center"/>
    </xf>
    <xf numFmtId="49" fontId="3" fillId="0" borderId="19" xfId="0" applyNumberFormat="1" applyFont="1" applyBorder="1" applyAlignment="1">
      <alignment horizontal="center" vertical="center"/>
    </xf>
    <xf numFmtId="0" fontId="11" fillId="12" borderId="15" xfId="0" applyFont="1" applyFill="1" applyBorder="1" applyAlignment="1">
      <alignment vertical="center"/>
    </xf>
    <xf numFmtId="0" fontId="11" fillId="12" borderId="66" xfId="0" applyFont="1" applyFill="1" applyBorder="1" applyAlignment="1">
      <alignment vertical="center"/>
    </xf>
    <xf numFmtId="177" fontId="3" fillId="0" borderId="67" xfId="0" applyNumberFormat="1" applyFont="1" applyBorder="1" applyAlignment="1">
      <alignment horizontal="left" vertical="center"/>
    </xf>
    <xf numFmtId="49" fontId="3" fillId="0" borderId="64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right" vertical="center"/>
    </xf>
    <xf numFmtId="0" fontId="3" fillId="0" borderId="68" xfId="0" applyFont="1" applyBorder="1" applyAlignment="1">
      <alignment horizontal="center" vertical="center"/>
    </xf>
    <xf numFmtId="177" fontId="3" fillId="4" borderId="69" xfId="0" applyNumberFormat="1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vertical="center"/>
    </xf>
    <xf numFmtId="0" fontId="3" fillId="0" borderId="69" xfId="0" applyFont="1" applyBorder="1" applyAlignment="1">
      <alignment horizontal="center" vertical="center"/>
    </xf>
    <xf numFmtId="20" fontId="3" fillId="4" borderId="69" xfId="0" applyNumberFormat="1" applyFont="1" applyFill="1" applyBorder="1" applyAlignment="1">
      <alignment horizontal="center" vertical="center"/>
    </xf>
    <xf numFmtId="176" fontId="1" fillId="0" borderId="70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0" fontId="3" fillId="0" borderId="72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177" fontId="3" fillId="0" borderId="69" xfId="0" applyNumberFormat="1" applyFont="1" applyBorder="1" applyAlignment="1">
      <alignment horizontal="left" vertical="center"/>
    </xf>
    <xf numFmtId="0" fontId="8" fillId="5" borderId="69" xfId="0" applyFont="1" applyFill="1" applyBorder="1" applyAlignment="1">
      <alignment horizontal="center" vertical="center" wrapText="1"/>
    </xf>
    <xf numFmtId="0" fontId="3" fillId="0" borderId="69" xfId="0" applyFont="1" applyBorder="1" applyAlignment="1">
      <alignment vertical="center"/>
    </xf>
    <xf numFmtId="20" fontId="3" fillId="0" borderId="69" xfId="0" applyNumberFormat="1" applyFont="1" applyBorder="1" applyAlignment="1">
      <alignment vertical="center"/>
    </xf>
    <xf numFmtId="0" fontId="3" fillId="0" borderId="70" xfId="0" applyFont="1" applyBorder="1" applyAlignment="1">
      <alignment horizontal="right" vertical="center"/>
    </xf>
    <xf numFmtId="0" fontId="11" fillId="12" borderId="74" xfId="0" applyFont="1" applyFill="1" applyBorder="1" applyAlignment="1">
      <alignment vertical="center"/>
    </xf>
    <xf numFmtId="177" fontId="3" fillId="0" borderId="75" xfId="0" applyNumberFormat="1" applyFont="1" applyBorder="1" applyAlignment="1">
      <alignment horizontal="left" vertical="center"/>
    </xf>
    <xf numFmtId="0" fontId="9" fillId="11" borderId="75" xfId="0" applyFont="1" applyFill="1" applyBorder="1" applyAlignment="1">
      <alignment horizontal="center" vertical="center"/>
    </xf>
    <xf numFmtId="0" fontId="3" fillId="0" borderId="75" xfId="0" applyFont="1" applyBorder="1" applyAlignment="1">
      <alignment vertical="center"/>
    </xf>
    <xf numFmtId="49" fontId="3" fillId="0" borderId="76" xfId="0" applyNumberFormat="1" applyFont="1" applyBorder="1" applyAlignment="1">
      <alignment horizontal="center" vertical="center"/>
    </xf>
    <xf numFmtId="20" fontId="3" fillId="0" borderId="75" xfId="0" applyNumberFormat="1" applyFont="1" applyBorder="1" applyAlignment="1">
      <alignment horizontal="right" vertical="center"/>
    </xf>
    <xf numFmtId="0" fontId="11" fillId="0" borderId="77" xfId="0" applyFont="1" applyBorder="1" applyAlignment="1">
      <alignment horizontal="right" vertical="center"/>
    </xf>
    <xf numFmtId="176" fontId="3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3" fillId="0" borderId="79" xfId="0" applyFont="1" applyBorder="1" applyAlignment="1">
      <alignment vertical="center"/>
    </xf>
    <xf numFmtId="0" fontId="3" fillId="0" borderId="79" xfId="0" applyFont="1" applyBorder="1" applyAlignment="1">
      <alignment horizontal="right" vertical="center"/>
    </xf>
    <xf numFmtId="0" fontId="3" fillId="0" borderId="80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82" xfId="0" applyFont="1" applyBorder="1" applyAlignment="1">
      <alignment horizontal="right" vertical="center"/>
    </xf>
    <xf numFmtId="0" fontId="3" fillId="0" borderId="83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0" fontId="3" fillId="0" borderId="84" xfId="0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3" fillId="0" borderId="85" xfId="0" applyNumberFormat="1" applyFont="1" applyBorder="1" applyAlignment="1">
      <alignment vertical="center"/>
    </xf>
    <xf numFmtId="49" fontId="3" fillId="0" borderId="86" xfId="0" applyNumberFormat="1" applyFont="1" applyBorder="1" applyAlignment="1">
      <alignment vertical="center"/>
    </xf>
    <xf numFmtId="0" fontId="3" fillId="0" borderId="87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4" fillId="10" borderId="15" xfId="0" applyFont="1" applyFill="1" applyBorder="1" applyAlignment="1">
      <alignment vertical="center" wrapText="1"/>
    </xf>
    <xf numFmtId="0" fontId="4" fillId="10" borderId="88" xfId="0" applyFont="1" applyFill="1" applyBorder="1" applyAlignment="1">
      <alignment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top" wrapText="1"/>
    </xf>
    <xf numFmtId="0" fontId="15" fillId="15" borderId="20" xfId="0" applyFont="1" applyFill="1" applyBorder="1" applyAlignment="1">
      <alignment horizontal="center" vertical="top" wrapText="1"/>
    </xf>
    <xf numFmtId="0" fontId="11" fillId="0" borderId="89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center" wrapText="1"/>
    </xf>
    <xf numFmtId="0" fontId="11" fillId="10" borderId="88" xfId="0" applyFont="1" applyFill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0" xfId="0" applyFont="1" applyBorder="1" applyAlignment="1">
      <alignment vertical="top" wrapText="1"/>
    </xf>
    <xf numFmtId="178" fontId="11" fillId="0" borderId="20" xfId="0" applyNumberFormat="1" applyFont="1" applyBorder="1" applyAlignment="1">
      <alignment vertical="top" wrapText="1"/>
    </xf>
    <xf numFmtId="0" fontId="11" fillId="10" borderId="15" xfId="0" applyFont="1" applyFill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0" xfId="0" applyFont="1" applyBorder="1" applyAlignment="1">
      <alignment vertical="top" wrapText="1"/>
    </xf>
    <xf numFmtId="0" fontId="14" fillId="0" borderId="90" xfId="0" applyFont="1" applyBorder="1" applyAlignment="1">
      <alignment horizontal="left" vertical="center" wrapText="1"/>
    </xf>
    <xf numFmtId="0" fontId="11" fillId="0" borderId="90" xfId="0" applyFont="1" applyBorder="1" applyAlignment="1">
      <alignment horizontal="left" vertical="center"/>
    </xf>
    <xf numFmtId="0" fontId="11" fillId="10" borderId="91" xfId="0" applyFont="1" applyFill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1" fillId="0" borderId="90" xfId="0" applyFont="1" applyBorder="1" applyAlignment="1">
      <alignment vertical="top"/>
    </xf>
    <xf numFmtId="0" fontId="7" fillId="0" borderId="11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top" wrapText="1"/>
    </xf>
    <xf numFmtId="0" fontId="15" fillId="15" borderId="8" xfId="0" applyFont="1" applyFill="1" applyBorder="1" applyAlignment="1">
      <alignment horizontal="center" vertical="top" wrapText="1"/>
    </xf>
    <xf numFmtId="0" fontId="15" fillId="15" borderId="13" xfId="0" applyFont="1" applyFill="1" applyBorder="1" applyAlignment="1">
      <alignment horizontal="center" vertical="top" wrapText="1"/>
    </xf>
    <xf numFmtId="0" fontId="15" fillId="15" borderId="92" xfId="0" applyFont="1" applyFill="1" applyBorder="1" applyAlignment="1">
      <alignment horizontal="center" vertical="top" wrapText="1"/>
    </xf>
    <xf numFmtId="0" fontId="11" fillId="0" borderId="20" xfId="0" applyFont="1" applyBorder="1" applyAlignment="1">
      <alignment horizontal="left" vertical="center"/>
    </xf>
    <xf numFmtId="0" fontId="4" fillId="15" borderId="20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vertical="center"/>
    </xf>
    <xf numFmtId="0" fontId="7" fillId="0" borderId="20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11" fillId="10" borderId="2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vertical="center"/>
    </xf>
    <xf numFmtId="0" fontId="11" fillId="10" borderId="93" xfId="0" applyFont="1" applyFill="1" applyBorder="1" applyAlignment="1">
      <alignment horizontal="left" vertical="center"/>
    </xf>
    <xf numFmtId="0" fontId="11" fillId="0" borderId="93" xfId="0" applyFont="1" applyBorder="1" applyAlignment="1">
      <alignment vertical="center"/>
    </xf>
    <xf numFmtId="0" fontId="11" fillId="10" borderId="21" xfId="0" applyFont="1" applyFill="1" applyBorder="1" applyAlignment="1">
      <alignment horizontal="left" vertical="center"/>
    </xf>
    <xf numFmtId="0" fontId="11" fillId="0" borderId="22" xfId="0" applyFont="1" applyBorder="1" applyAlignment="1">
      <alignment vertical="center"/>
    </xf>
    <xf numFmtId="177" fontId="11" fillId="0" borderId="93" xfId="0" applyNumberFormat="1" applyFont="1" applyBorder="1" applyAlignment="1">
      <alignment horizontal="left" vertical="center"/>
    </xf>
    <xf numFmtId="177" fontId="11" fillId="0" borderId="20" xfId="0" applyNumberFormat="1" applyFont="1" applyBorder="1" applyAlignment="1">
      <alignment horizontal="left" vertical="center"/>
    </xf>
    <xf numFmtId="177" fontId="11" fillId="0" borderId="67" xfId="0" applyNumberFormat="1" applyFont="1" applyBorder="1" applyAlignment="1">
      <alignment horizontal="left" vertical="center"/>
    </xf>
    <xf numFmtId="0" fontId="11" fillId="0" borderId="78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8" fillId="4" borderId="15" xfId="0" applyFont="1" applyFill="1" applyBorder="1" applyAlignment="1">
      <alignment vertical="center" wrapText="1"/>
    </xf>
    <xf numFmtId="0" fontId="8" fillId="4" borderId="88" xfId="0" applyFont="1" applyFill="1" applyBorder="1" applyAlignment="1">
      <alignment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top" wrapText="1"/>
    </xf>
    <xf numFmtId="0" fontId="6" fillId="14" borderId="20" xfId="0" applyFont="1" applyFill="1" applyBorder="1" applyAlignment="1">
      <alignment horizontal="center" vertical="top" wrapText="1"/>
    </xf>
    <xf numFmtId="0" fontId="3" fillId="0" borderId="8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4" borderId="88" xfId="0" applyFont="1" applyFill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vertical="top" wrapText="1"/>
    </xf>
    <xf numFmtId="0" fontId="5" fillId="0" borderId="20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center" wrapText="1"/>
    </xf>
    <xf numFmtId="178" fontId="3" fillId="0" borderId="20" xfId="0" applyNumberFormat="1" applyFont="1" applyBorder="1" applyAlignment="1">
      <alignment vertical="top" wrapText="1"/>
    </xf>
    <xf numFmtId="178" fontId="5" fillId="0" borderId="20" xfId="0" applyNumberFormat="1" applyFont="1" applyBorder="1" applyAlignment="1">
      <alignment horizontal="center" vertical="top" wrapText="1"/>
    </xf>
    <xf numFmtId="178" fontId="5" fillId="0" borderId="20" xfId="0" applyNumberFormat="1" applyFont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30" xfId="0" applyFont="1" applyBorder="1" applyAlignment="1">
      <alignment vertical="top" wrapText="1"/>
    </xf>
    <xf numFmtId="0" fontId="5" fillId="0" borderId="3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left" vertical="center" wrapText="1"/>
    </xf>
    <xf numFmtId="0" fontId="3" fillId="0" borderId="90" xfId="0" applyFont="1" applyBorder="1" applyAlignment="1">
      <alignment horizontal="left" vertical="center"/>
    </xf>
    <xf numFmtId="0" fontId="3" fillId="4" borderId="91" xfId="0" applyFont="1" applyFill="1" applyBorder="1" applyAlignment="1">
      <alignment vertical="center"/>
    </xf>
    <xf numFmtId="0" fontId="3" fillId="0" borderId="90" xfId="0" applyFont="1" applyBorder="1" applyAlignment="1">
      <alignment vertical="center"/>
    </xf>
    <xf numFmtId="0" fontId="3" fillId="0" borderId="90" xfId="0" applyFont="1" applyBorder="1" applyAlignment="1">
      <alignment vertical="top"/>
    </xf>
    <xf numFmtId="0" fontId="5" fillId="0" borderId="90" xfId="0" applyFont="1" applyBorder="1" applyAlignment="1">
      <alignment horizontal="center" vertical="top"/>
    </xf>
    <xf numFmtId="0" fontId="5" fillId="0" borderId="90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top" wrapText="1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top" wrapText="1"/>
    </xf>
    <xf numFmtId="0" fontId="6" fillId="14" borderId="92" xfId="0" applyFont="1" applyFill="1" applyBorder="1" applyAlignment="1">
      <alignment horizontal="center" vertical="top" wrapText="1"/>
    </xf>
    <xf numFmtId="0" fontId="5" fillId="0" borderId="25" xfId="0" applyFont="1" applyBorder="1" applyAlignment="1">
      <alignment horizontal="left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top" wrapText="1"/>
    </xf>
    <xf numFmtId="177" fontId="5" fillId="0" borderId="25" xfId="0" applyNumberFormat="1" applyFont="1" applyBorder="1" applyAlignment="1">
      <alignment horizontal="left" vertical="center" wrapText="1"/>
    </xf>
    <xf numFmtId="0" fontId="5" fillId="16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77" fontId="5" fillId="0" borderId="94" xfId="0" applyNumberFormat="1" applyFont="1" applyBorder="1" applyAlignment="1">
      <alignment horizontal="left" vertical="center" wrapText="1"/>
    </xf>
    <xf numFmtId="0" fontId="8" fillId="5" borderId="75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top" wrapText="1"/>
    </xf>
    <xf numFmtId="0" fontId="5" fillId="0" borderId="75" xfId="0" applyFont="1" applyBorder="1" applyAlignment="1">
      <alignment horizontal="center" vertical="center"/>
    </xf>
    <xf numFmtId="0" fontId="3" fillId="0" borderId="7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4" fillId="6" borderId="15" xfId="0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left" vertical="center" wrapText="1"/>
    </xf>
    <xf numFmtId="0" fontId="3" fillId="4" borderId="88" xfId="0" applyFont="1" applyFill="1" applyBorder="1" applyAlignment="1">
      <alignment horizontal="left" vertical="center" wrapText="1"/>
    </xf>
    <xf numFmtId="0" fontId="14" fillId="6" borderId="15" xfId="0" applyFont="1" applyFill="1" applyBorder="1" applyAlignment="1">
      <alignment vertical="center" wrapText="1"/>
    </xf>
    <xf numFmtId="178" fontId="9" fillId="6" borderId="15" xfId="0" applyNumberFormat="1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178" fontId="3" fillId="6" borderId="91" xfId="0" applyNumberFormat="1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14" fontId="5" fillId="0" borderId="25" xfId="0" applyNumberFormat="1" applyFont="1" applyBorder="1" applyAlignment="1">
      <alignment horizontal="left" vertical="center" wrapText="1"/>
    </xf>
    <xf numFmtId="0" fontId="5" fillId="4" borderId="21" xfId="0" applyFont="1" applyFill="1" applyBorder="1" applyAlignment="1">
      <alignment vertical="center" wrapText="1"/>
    </xf>
    <xf numFmtId="0" fontId="11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14" fontId="5" fillId="0" borderId="95" xfId="0" applyNumberFormat="1" applyFont="1" applyBorder="1" applyAlignment="1">
      <alignment horizontal="left" vertical="center" wrapText="1"/>
    </xf>
    <xf numFmtId="0" fontId="9" fillId="17" borderId="20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vertical="center"/>
    </xf>
    <xf numFmtId="0" fontId="5" fillId="0" borderId="67" xfId="0" applyFont="1" applyBorder="1" applyAlignment="1">
      <alignment horizontal="center" vertical="top" wrapText="1"/>
    </xf>
    <xf numFmtId="0" fontId="5" fillId="0" borderId="67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top" wrapText="1"/>
    </xf>
    <xf numFmtId="0" fontId="17" fillId="0" borderId="67" xfId="0" applyFont="1" applyBorder="1" applyAlignment="1">
      <alignment horizontal="center" vertical="center" wrapText="1"/>
    </xf>
    <xf numFmtId="14" fontId="5" fillId="0" borderId="94" xfId="0" applyNumberFormat="1" applyFont="1" applyBorder="1" applyAlignment="1">
      <alignment horizontal="left" vertical="center" wrapText="1"/>
    </xf>
    <xf numFmtId="0" fontId="8" fillId="0" borderId="75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2" fillId="0" borderId="78" xfId="0" applyFont="1" applyBorder="1" applyAlignment="1">
      <alignment vertical="center"/>
    </xf>
    <xf numFmtId="49" fontId="3" fillId="0" borderId="64" xfId="0" applyNumberFormat="1" applyFont="1" applyBorder="1" applyAlignment="1">
      <alignment vertical="center"/>
    </xf>
    <xf numFmtId="0" fontId="2" fillId="0" borderId="7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18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177" fontId="3" fillId="4" borderId="53" xfId="0" applyNumberFormat="1" applyFont="1" applyFill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3" fillId="12" borderId="41" xfId="0" applyFont="1" applyFill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3" fillId="10" borderId="41" xfId="0" applyFont="1" applyFill="1" applyBorder="1" applyAlignment="1">
      <alignment vertical="center"/>
    </xf>
    <xf numFmtId="0" fontId="3" fillId="7" borderId="4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1000"/>
  <sheetViews>
    <sheetView tabSelected="1" topLeftCell="BI1" zoomScale="106" zoomScaleNormal="106" workbookViewId="0">
      <selection activeCell="BV10" sqref="BV10"/>
    </sheetView>
  </sheetViews>
  <sheetFormatPr baseColWidth="10" defaultColWidth="14.5" defaultRowHeight="15" customHeight="1"/>
  <cols>
    <col min="1" max="1" width="6" customWidth="1"/>
    <col min="2" max="2" width="3.83203125" customWidth="1"/>
    <col min="3" max="3" width="10" customWidth="1"/>
    <col min="4" max="4" width="12.5" customWidth="1"/>
    <col min="5" max="7" width="8.6640625" customWidth="1"/>
    <col min="8" max="8" width="13.1640625" customWidth="1"/>
    <col min="9" max="9" width="6" customWidth="1"/>
    <col min="10" max="10" width="4.1640625" customWidth="1"/>
    <col min="11" max="11" width="10" customWidth="1"/>
    <col min="12" max="12" width="8.6640625" customWidth="1"/>
    <col min="13" max="13" width="18.33203125" customWidth="1"/>
    <col min="14" max="14" width="5.5" customWidth="1"/>
    <col min="15" max="15" width="7.5" customWidth="1"/>
    <col min="16" max="16" width="6.6640625" customWidth="1"/>
    <col min="17" max="17" width="7.33203125" customWidth="1"/>
    <col min="18" max="18" width="4.5" customWidth="1"/>
    <col min="19" max="19" width="4.1640625" customWidth="1"/>
    <col min="20" max="21" width="8.6640625" customWidth="1"/>
    <col min="22" max="22" width="16.83203125" customWidth="1"/>
    <col min="23" max="23" width="6.5" customWidth="1"/>
    <col min="24" max="24" width="5.6640625" customWidth="1"/>
    <col min="25" max="25" width="9.33203125" customWidth="1"/>
    <col min="26" max="26" width="8.5" customWidth="1"/>
    <col min="27" max="27" width="4.83203125" customWidth="1"/>
    <col min="28" max="28" width="4.6640625" customWidth="1"/>
    <col min="29" max="30" width="8.6640625" customWidth="1"/>
    <col min="31" max="31" width="17.5" customWidth="1"/>
    <col min="32" max="33" width="5.5" customWidth="1"/>
    <col min="34" max="35" width="9" customWidth="1"/>
    <col min="36" max="36" width="6" customWidth="1"/>
    <col min="37" max="43" width="8.6640625" customWidth="1"/>
    <col min="44" max="44" width="5.5" customWidth="1"/>
    <col min="45" max="47" width="8.6640625" customWidth="1"/>
    <col min="48" max="48" width="16.33203125" customWidth="1"/>
    <col min="49" max="50" width="8.6640625" customWidth="1"/>
    <col min="51" max="51" width="6.1640625" customWidth="1"/>
    <col min="52" max="55" width="8.6640625" customWidth="1"/>
    <col min="56" max="56" width="13.5" customWidth="1"/>
    <col min="57" max="63" width="8.6640625" customWidth="1"/>
    <col min="64" max="64" width="12.6640625" customWidth="1"/>
    <col min="65" max="67" width="8.6640625" customWidth="1"/>
    <col min="68" max="68" width="8.5" customWidth="1"/>
    <col min="69" max="69" width="7.83203125" customWidth="1"/>
    <col min="70" max="71" width="9.5" customWidth="1"/>
    <col min="72" max="72" width="14.6640625" customWidth="1"/>
    <col min="73" max="75" width="9.5" customWidth="1"/>
  </cols>
  <sheetData>
    <row r="1" spans="1:75" ht="16.5" customHeight="1" thickTop="1" thickBot="1">
      <c r="B1" s="327" t="s">
        <v>0</v>
      </c>
      <c r="C1" s="328"/>
      <c r="D1" s="328"/>
      <c r="E1" s="328"/>
      <c r="F1" s="328"/>
      <c r="G1" s="329"/>
      <c r="H1" s="1"/>
      <c r="J1" s="330" t="s">
        <v>1</v>
      </c>
      <c r="K1" s="306"/>
      <c r="L1" s="306"/>
      <c r="M1" s="306"/>
      <c r="N1" s="306"/>
      <c r="O1" s="306"/>
      <c r="P1" s="307"/>
      <c r="Q1" s="1"/>
      <c r="S1" s="305" t="s">
        <v>2</v>
      </c>
      <c r="T1" s="306"/>
      <c r="U1" s="306"/>
      <c r="V1" s="306"/>
      <c r="W1" s="306"/>
      <c r="X1" s="306"/>
      <c r="Y1" s="307"/>
      <c r="Z1" s="3"/>
      <c r="AB1" s="305" t="s">
        <v>3</v>
      </c>
      <c r="AC1" s="306"/>
      <c r="AD1" s="306"/>
      <c r="AE1" s="306"/>
      <c r="AF1" s="306"/>
      <c r="AG1" s="306"/>
      <c r="AH1" s="307"/>
      <c r="AI1" s="3"/>
      <c r="AK1" s="305" t="s">
        <v>4</v>
      </c>
      <c r="AL1" s="306"/>
      <c r="AM1" s="306"/>
      <c r="AN1" s="306"/>
      <c r="AO1" s="306"/>
      <c r="AP1" s="306"/>
      <c r="AQ1" s="307"/>
      <c r="AS1" s="305" t="s">
        <v>5</v>
      </c>
      <c r="AT1" s="306"/>
      <c r="AU1" s="306"/>
      <c r="AV1" s="306"/>
      <c r="AW1" s="306"/>
      <c r="AX1" s="306"/>
      <c r="AY1" s="307"/>
      <c r="BA1" s="305" t="s">
        <v>6</v>
      </c>
      <c r="BB1" s="306"/>
      <c r="BC1" s="306"/>
      <c r="BD1" s="306"/>
      <c r="BE1" s="306"/>
      <c r="BF1" s="306"/>
      <c r="BG1" s="307"/>
      <c r="BI1" s="305" t="s">
        <v>7</v>
      </c>
      <c r="BJ1" s="306"/>
      <c r="BK1" s="306"/>
      <c r="BL1" s="306"/>
      <c r="BM1" s="306"/>
      <c r="BN1" s="306"/>
      <c r="BO1" s="307"/>
      <c r="BQ1" s="305" t="s">
        <v>413</v>
      </c>
      <c r="BR1" s="306"/>
      <c r="BS1" s="306"/>
      <c r="BT1" s="306"/>
      <c r="BU1" s="306"/>
      <c r="BV1" s="306"/>
      <c r="BW1" s="307"/>
    </row>
    <row r="2" spans="1:75" ht="16.5" customHeight="1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8"/>
      <c r="I2" s="4" t="s">
        <v>8</v>
      </c>
      <c r="J2" s="9" t="s">
        <v>9</v>
      </c>
      <c r="K2" s="10" t="s">
        <v>15</v>
      </c>
      <c r="L2" s="11" t="s">
        <v>16</v>
      </c>
      <c r="M2" s="12" t="s">
        <v>11</v>
      </c>
      <c r="N2" s="12" t="s">
        <v>12</v>
      </c>
      <c r="O2" s="12" t="s">
        <v>13</v>
      </c>
      <c r="P2" s="13" t="s">
        <v>14</v>
      </c>
      <c r="Q2" s="14"/>
      <c r="R2" s="4" t="s">
        <v>8</v>
      </c>
      <c r="S2" s="9" t="s">
        <v>9</v>
      </c>
      <c r="T2" s="15" t="s">
        <v>15</v>
      </c>
      <c r="U2" s="16" t="s">
        <v>16</v>
      </c>
      <c r="V2" s="17" t="s">
        <v>11</v>
      </c>
      <c r="W2" s="18" t="s">
        <v>12</v>
      </c>
      <c r="X2" s="19" t="s">
        <v>13</v>
      </c>
      <c r="Y2" s="20" t="s">
        <v>14</v>
      </c>
      <c r="Z2" s="21"/>
      <c r="AA2" s="4" t="s">
        <v>8</v>
      </c>
      <c r="AB2" s="9" t="s">
        <v>9</v>
      </c>
      <c r="AC2" s="15" t="s">
        <v>15</v>
      </c>
      <c r="AD2" s="16" t="s">
        <v>16</v>
      </c>
      <c r="AE2" s="17" t="s">
        <v>11</v>
      </c>
      <c r="AF2" s="18" t="s">
        <v>12</v>
      </c>
      <c r="AG2" s="19" t="s">
        <v>13</v>
      </c>
      <c r="AH2" s="20" t="s">
        <v>14</v>
      </c>
      <c r="AI2" s="22"/>
      <c r="AJ2" s="4" t="s">
        <v>8</v>
      </c>
      <c r="AK2" s="9" t="s">
        <v>9</v>
      </c>
      <c r="AL2" s="15" t="s">
        <v>15</v>
      </c>
      <c r="AM2" s="16" t="s">
        <v>16</v>
      </c>
      <c r="AN2" s="17" t="s">
        <v>11</v>
      </c>
      <c r="AO2" s="18" t="s">
        <v>12</v>
      </c>
      <c r="AP2" s="19" t="s">
        <v>13</v>
      </c>
      <c r="AQ2" s="20" t="s">
        <v>14</v>
      </c>
      <c r="AR2" s="4" t="s">
        <v>8</v>
      </c>
      <c r="AS2" s="9" t="s">
        <v>9</v>
      </c>
      <c r="AT2" s="15" t="s">
        <v>15</v>
      </c>
      <c r="AU2" s="16" t="s">
        <v>16</v>
      </c>
      <c r="AV2" s="17" t="s">
        <v>11</v>
      </c>
      <c r="AW2" s="18" t="s">
        <v>12</v>
      </c>
      <c r="AX2" s="19" t="s">
        <v>13</v>
      </c>
      <c r="AY2" s="20" t="s">
        <v>14</v>
      </c>
      <c r="AZ2" s="4" t="s">
        <v>8</v>
      </c>
      <c r="BA2" s="23" t="s">
        <v>9</v>
      </c>
      <c r="BB2" s="24" t="s">
        <v>15</v>
      </c>
      <c r="BC2" s="25" t="s">
        <v>16</v>
      </c>
      <c r="BD2" s="26" t="s">
        <v>11</v>
      </c>
      <c r="BE2" s="27" t="s">
        <v>12</v>
      </c>
      <c r="BF2" s="28" t="s">
        <v>13</v>
      </c>
      <c r="BG2" s="29" t="s">
        <v>14</v>
      </c>
      <c r="BH2" s="4" t="s">
        <v>8</v>
      </c>
      <c r="BI2" s="23" t="s">
        <v>9</v>
      </c>
      <c r="BJ2" s="24" t="s">
        <v>15</v>
      </c>
      <c r="BK2" s="25" t="s">
        <v>16</v>
      </c>
      <c r="BL2" s="26" t="s">
        <v>11</v>
      </c>
      <c r="BM2" s="27" t="s">
        <v>12</v>
      </c>
      <c r="BN2" s="28" t="s">
        <v>13</v>
      </c>
      <c r="BO2" s="29" t="s">
        <v>14</v>
      </c>
      <c r="BP2" s="4" t="s">
        <v>8</v>
      </c>
      <c r="BQ2" s="23" t="s">
        <v>9</v>
      </c>
      <c r="BR2" s="24" t="s">
        <v>15</v>
      </c>
      <c r="BS2" s="25" t="s">
        <v>16</v>
      </c>
      <c r="BT2" s="26" t="s">
        <v>11</v>
      </c>
      <c r="BU2" s="27" t="s">
        <v>12</v>
      </c>
      <c r="BV2" s="28" t="s">
        <v>13</v>
      </c>
      <c r="BW2" s="29" t="s">
        <v>14</v>
      </c>
    </row>
    <row r="3" spans="1:75" ht="16.5" customHeight="1">
      <c r="A3" s="314" t="s">
        <v>17</v>
      </c>
      <c r="B3" s="30">
        <v>1</v>
      </c>
      <c r="C3" s="31">
        <v>42537</v>
      </c>
      <c r="D3" s="32" t="s">
        <v>18</v>
      </c>
      <c r="E3" s="33" t="s">
        <v>19</v>
      </c>
      <c r="F3" s="34">
        <v>0.64583333333333304</v>
      </c>
      <c r="G3" s="35">
        <v>165</v>
      </c>
      <c r="H3" s="36"/>
      <c r="I3" s="314" t="s">
        <v>17</v>
      </c>
      <c r="J3" s="37">
        <v>1</v>
      </c>
      <c r="K3" s="38" t="s">
        <v>20</v>
      </c>
      <c r="L3" s="39" t="s">
        <v>21</v>
      </c>
      <c r="M3" s="40" t="s">
        <v>22</v>
      </c>
      <c r="N3" s="40" t="s">
        <v>23</v>
      </c>
      <c r="O3" s="41">
        <v>0.35416666666666702</v>
      </c>
      <c r="P3" s="42">
        <v>209</v>
      </c>
      <c r="Q3" s="43"/>
      <c r="R3" s="314" t="s">
        <v>17</v>
      </c>
      <c r="S3" s="44">
        <v>1</v>
      </c>
      <c r="T3" s="38" t="s">
        <v>24</v>
      </c>
      <c r="U3" s="39" t="s">
        <v>21</v>
      </c>
      <c r="V3" s="40" t="s">
        <v>22</v>
      </c>
      <c r="W3" s="45" t="s">
        <v>23</v>
      </c>
      <c r="X3" s="46">
        <v>0.35416666666666702</v>
      </c>
      <c r="Y3" s="47">
        <v>327</v>
      </c>
      <c r="Z3" s="48"/>
      <c r="AA3" s="314" t="s">
        <v>17</v>
      </c>
      <c r="AB3" s="44">
        <v>1</v>
      </c>
      <c r="AC3" s="38" t="s">
        <v>25</v>
      </c>
      <c r="AD3" s="39" t="s">
        <v>26</v>
      </c>
      <c r="AE3" s="40" t="s">
        <v>27</v>
      </c>
      <c r="AF3" s="45" t="s">
        <v>19</v>
      </c>
      <c r="AG3" s="46">
        <v>0.35416666666666702</v>
      </c>
      <c r="AH3" s="47">
        <v>200</v>
      </c>
      <c r="AI3" s="48"/>
      <c r="AJ3" s="314" t="s">
        <v>17</v>
      </c>
      <c r="AK3" s="44">
        <v>1</v>
      </c>
      <c r="AL3" s="38" t="s">
        <v>28</v>
      </c>
      <c r="AM3" s="39" t="s">
        <v>21</v>
      </c>
      <c r="AN3" s="40" t="s">
        <v>22</v>
      </c>
      <c r="AO3" s="45" t="s">
        <v>23</v>
      </c>
      <c r="AP3" s="46">
        <v>0.35416666666666702</v>
      </c>
      <c r="AQ3" s="47">
        <v>222</v>
      </c>
      <c r="AR3" s="314" t="s">
        <v>17</v>
      </c>
      <c r="AS3" s="44">
        <v>1</v>
      </c>
      <c r="AT3" s="38"/>
      <c r="AU3" s="39"/>
      <c r="AV3" s="40"/>
      <c r="AW3" s="45"/>
      <c r="AX3" s="46"/>
      <c r="AY3" s="47"/>
      <c r="AZ3" s="49" t="s">
        <v>17</v>
      </c>
      <c r="BA3" s="50">
        <v>1</v>
      </c>
      <c r="BB3" s="38" t="s">
        <v>29</v>
      </c>
      <c r="BC3" s="51" t="s">
        <v>26</v>
      </c>
      <c r="BD3" s="40" t="s">
        <v>30</v>
      </c>
      <c r="BE3" s="45" t="s">
        <v>19</v>
      </c>
      <c r="BF3" s="46">
        <v>0.35416666666666702</v>
      </c>
      <c r="BG3" s="52">
        <v>203</v>
      </c>
      <c r="BH3" s="49" t="s">
        <v>17</v>
      </c>
      <c r="BI3" s="50"/>
      <c r="BJ3" s="38"/>
      <c r="BK3" s="51"/>
      <c r="BL3" s="40"/>
      <c r="BM3" s="45"/>
      <c r="BN3" s="46"/>
      <c r="BO3" s="52"/>
      <c r="BP3" s="49" t="s">
        <v>17</v>
      </c>
      <c r="BQ3" s="50"/>
      <c r="BR3" s="38"/>
      <c r="BS3" s="51"/>
      <c r="BT3" s="40"/>
      <c r="BU3" s="45"/>
      <c r="BV3" s="46"/>
      <c r="BW3" s="52"/>
    </row>
    <row r="4" spans="1:75" ht="16.5" customHeight="1">
      <c r="A4" s="315"/>
      <c r="B4" s="30">
        <v>2</v>
      </c>
      <c r="C4" s="53">
        <v>42916</v>
      </c>
      <c r="D4" s="32" t="s">
        <v>31</v>
      </c>
      <c r="E4" s="33" t="s">
        <v>19</v>
      </c>
      <c r="F4" s="34">
        <v>0.6875</v>
      </c>
      <c r="G4" s="35">
        <v>32</v>
      </c>
      <c r="H4" s="36"/>
      <c r="I4" s="315"/>
      <c r="J4" s="37">
        <v>2</v>
      </c>
      <c r="K4" s="54" t="s">
        <v>28</v>
      </c>
      <c r="L4" s="39" t="s">
        <v>26</v>
      </c>
      <c r="M4" s="55" t="s">
        <v>32</v>
      </c>
      <c r="N4" s="55" t="s">
        <v>33</v>
      </c>
      <c r="O4" s="56">
        <v>0.375</v>
      </c>
      <c r="P4" s="42">
        <v>184</v>
      </c>
      <c r="Q4" s="43"/>
      <c r="R4" s="315"/>
      <c r="S4" s="57"/>
      <c r="T4" s="4"/>
      <c r="U4" s="4"/>
      <c r="V4" s="4"/>
      <c r="W4" s="58"/>
      <c r="X4" s="59"/>
      <c r="Y4" s="60"/>
      <c r="Z4" s="59"/>
      <c r="AA4" s="315"/>
      <c r="AB4" s="44">
        <v>2</v>
      </c>
      <c r="AC4" s="38" t="s">
        <v>34</v>
      </c>
      <c r="AD4" s="39" t="s">
        <v>21</v>
      </c>
      <c r="AE4" s="40" t="s">
        <v>22</v>
      </c>
      <c r="AF4" s="45" t="s">
        <v>23</v>
      </c>
      <c r="AG4" s="46">
        <v>0.35416666666666702</v>
      </c>
      <c r="AH4" s="47">
        <v>335</v>
      </c>
      <c r="AI4" s="48"/>
      <c r="AJ4" s="315"/>
      <c r="AK4" s="44"/>
      <c r="AL4" s="61"/>
      <c r="AM4" s="62"/>
      <c r="AN4" s="62"/>
      <c r="AO4" s="62"/>
      <c r="AP4" s="62"/>
      <c r="AQ4" s="63"/>
      <c r="AR4" s="315"/>
      <c r="AS4" s="44"/>
      <c r="AT4" s="61"/>
      <c r="AU4" s="62"/>
      <c r="AV4" s="62"/>
      <c r="AW4" s="62"/>
      <c r="AX4" s="62"/>
      <c r="AY4" s="63"/>
      <c r="AZ4" s="49"/>
      <c r="BA4" s="64">
        <v>2</v>
      </c>
      <c r="BB4" s="38" t="s">
        <v>20</v>
      </c>
      <c r="BC4" s="65" t="s">
        <v>21</v>
      </c>
      <c r="BD4" s="40" t="s">
        <v>35</v>
      </c>
      <c r="BE4" s="45" t="s">
        <v>23</v>
      </c>
      <c r="BF4" s="46">
        <v>0.35416666666666702</v>
      </c>
      <c r="BG4" s="66">
        <v>357</v>
      </c>
      <c r="BH4" s="49"/>
      <c r="BI4" s="64"/>
      <c r="BJ4" s="38"/>
      <c r="BK4" s="65"/>
      <c r="BL4" s="40"/>
      <c r="BM4" s="45"/>
      <c r="BN4" s="46"/>
      <c r="BO4" s="66"/>
      <c r="BP4" s="49"/>
      <c r="BQ4" s="64"/>
      <c r="BR4" s="38"/>
      <c r="BS4" s="65"/>
      <c r="BT4" s="40"/>
      <c r="BU4" s="45"/>
      <c r="BV4" s="46"/>
      <c r="BW4" s="66"/>
    </row>
    <row r="5" spans="1:75" ht="16.5" customHeight="1">
      <c r="A5" s="316"/>
      <c r="B5" s="67"/>
      <c r="C5" s="4"/>
      <c r="D5" s="4"/>
      <c r="E5" s="4"/>
      <c r="F5" s="4"/>
      <c r="G5" s="68"/>
      <c r="H5" s="4"/>
      <c r="I5" s="316"/>
      <c r="J5" s="37"/>
      <c r="K5" s="4"/>
      <c r="L5" s="4"/>
      <c r="M5" s="4"/>
      <c r="N5" s="4"/>
      <c r="O5" s="4"/>
      <c r="P5" s="68"/>
      <c r="Q5" s="4"/>
      <c r="R5" s="316"/>
      <c r="S5" s="57"/>
      <c r="T5" s="4"/>
      <c r="U5" s="4"/>
      <c r="V5" s="4"/>
      <c r="W5" s="58"/>
      <c r="X5" s="59"/>
      <c r="Y5" s="60"/>
      <c r="Z5" s="59"/>
      <c r="AA5" s="316"/>
      <c r="AB5" s="44"/>
      <c r="AC5" s="4"/>
      <c r="AD5" s="4"/>
      <c r="AE5" s="4"/>
      <c r="AF5" s="58"/>
      <c r="AG5" s="59"/>
      <c r="AH5" s="60"/>
      <c r="AI5" s="59"/>
      <c r="AJ5" s="316"/>
      <c r="AK5" s="44"/>
      <c r="AL5" s="69"/>
      <c r="AM5" s="70"/>
      <c r="AN5" s="70"/>
      <c r="AO5" s="71"/>
      <c r="AP5" s="72"/>
      <c r="AQ5" s="73"/>
      <c r="AR5" s="316"/>
      <c r="AS5" s="44"/>
      <c r="AT5" s="69"/>
      <c r="AU5" s="70"/>
      <c r="AV5" s="70"/>
      <c r="AW5" s="71"/>
      <c r="AX5" s="72"/>
      <c r="AY5" s="73"/>
      <c r="AZ5" s="49"/>
      <c r="BA5" s="50"/>
      <c r="BB5" s="69"/>
      <c r="BC5" s="70"/>
      <c r="BD5" s="70"/>
      <c r="BE5" s="71"/>
      <c r="BF5" s="72"/>
      <c r="BG5" s="74"/>
      <c r="BH5" s="49"/>
      <c r="BI5" s="64"/>
      <c r="BJ5" s="69"/>
      <c r="BK5" s="70"/>
      <c r="BL5" s="70"/>
      <c r="BM5" s="71"/>
      <c r="BN5" s="72"/>
      <c r="BO5" s="74"/>
      <c r="BP5" s="49"/>
      <c r="BQ5" s="64"/>
      <c r="BR5" s="69"/>
      <c r="BS5" s="70"/>
      <c r="BT5" s="70"/>
      <c r="BU5" s="71"/>
      <c r="BV5" s="72"/>
      <c r="BW5" s="74"/>
    </row>
    <row r="6" spans="1:75" ht="16.5" customHeight="1">
      <c r="A6" s="312" t="s">
        <v>36</v>
      </c>
      <c r="B6" s="30">
        <v>3</v>
      </c>
      <c r="C6" s="75">
        <v>42620</v>
      </c>
      <c r="D6" s="55" t="s">
        <v>37</v>
      </c>
      <c r="E6" s="76" t="s">
        <v>38</v>
      </c>
      <c r="F6" s="34">
        <v>0.64583333333333304</v>
      </c>
      <c r="G6" s="35">
        <v>215</v>
      </c>
      <c r="H6" s="36"/>
      <c r="I6" s="312" t="s">
        <v>36</v>
      </c>
      <c r="J6" s="77" t="s">
        <v>39</v>
      </c>
      <c r="K6" s="54" t="s">
        <v>40</v>
      </c>
      <c r="L6" s="39" t="s">
        <v>26</v>
      </c>
      <c r="M6" s="40" t="s">
        <v>41</v>
      </c>
      <c r="N6" s="40" t="s">
        <v>38</v>
      </c>
      <c r="O6" s="41">
        <v>0.64583333333333304</v>
      </c>
      <c r="P6" s="42">
        <v>240</v>
      </c>
      <c r="Q6" s="43"/>
      <c r="R6" s="312" t="s">
        <v>36</v>
      </c>
      <c r="S6" s="78">
        <v>2</v>
      </c>
      <c r="T6" s="40" t="s">
        <v>42</v>
      </c>
      <c r="U6" s="39" t="s">
        <v>26</v>
      </c>
      <c r="V6" s="40" t="s">
        <v>41</v>
      </c>
      <c r="W6" s="45" t="s">
        <v>38</v>
      </c>
      <c r="X6" s="46">
        <v>0.64583333333333304</v>
      </c>
      <c r="Y6" s="79">
        <v>126</v>
      </c>
      <c r="Z6" s="59"/>
      <c r="AA6" s="320" t="s">
        <v>36</v>
      </c>
      <c r="AB6" s="80">
        <v>3</v>
      </c>
      <c r="AC6" s="40" t="s">
        <v>43</v>
      </c>
      <c r="AD6" s="39" t="s">
        <v>26</v>
      </c>
      <c r="AE6" s="40" t="s">
        <v>44</v>
      </c>
      <c r="AF6" s="45" t="s">
        <v>38</v>
      </c>
      <c r="AG6" s="46">
        <v>0.64583333333333304</v>
      </c>
      <c r="AH6" s="79">
        <v>254</v>
      </c>
      <c r="AI6" s="59"/>
      <c r="AJ6" s="320" t="s">
        <v>36</v>
      </c>
      <c r="AK6" s="80">
        <v>2</v>
      </c>
      <c r="AL6" s="40" t="s">
        <v>45</v>
      </c>
      <c r="AM6" s="39" t="s">
        <v>26</v>
      </c>
      <c r="AN6" s="40" t="s">
        <v>44</v>
      </c>
      <c r="AO6" s="45" t="s">
        <v>38</v>
      </c>
      <c r="AP6" s="46">
        <v>0.64583333333333304</v>
      </c>
      <c r="AQ6" s="79"/>
      <c r="AR6" s="320" t="s">
        <v>36</v>
      </c>
      <c r="AS6" s="80">
        <v>2</v>
      </c>
      <c r="AT6" s="40" t="s">
        <v>46</v>
      </c>
      <c r="AU6" s="39" t="s">
        <v>26</v>
      </c>
      <c r="AV6" s="40" t="s">
        <v>44</v>
      </c>
      <c r="AW6" s="45" t="s">
        <v>19</v>
      </c>
      <c r="AX6" s="46">
        <v>0.64583333333333304</v>
      </c>
      <c r="AY6" s="79"/>
      <c r="AZ6" s="4" t="s">
        <v>36</v>
      </c>
      <c r="BA6" s="64">
        <v>3</v>
      </c>
      <c r="BB6" s="40" t="s">
        <v>47</v>
      </c>
      <c r="BC6" s="51" t="s">
        <v>26</v>
      </c>
      <c r="BD6" s="40" t="s">
        <v>41</v>
      </c>
      <c r="BE6" s="45" t="s">
        <v>38</v>
      </c>
      <c r="BF6" s="46">
        <v>0.64583333333333304</v>
      </c>
      <c r="BG6" s="81"/>
      <c r="BH6" s="4" t="s">
        <v>36</v>
      </c>
      <c r="BI6" s="64">
        <v>1</v>
      </c>
      <c r="BJ6" s="40" t="s">
        <v>48</v>
      </c>
      <c r="BK6" s="51" t="s">
        <v>26</v>
      </c>
      <c r="BL6" s="40" t="s">
        <v>41</v>
      </c>
      <c r="BM6" s="45" t="s">
        <v>49</v>
      </c>
      <c r="BN6" s="46">
        <v>0.64583333333333304</v>
      </c>
      <c r="BO6" s="81">
        <v>170</v>
      </c>
      <c r="BP6" s="4" t="s">
        <v>36</v>
      </c>
      <c r="BQ6" s="64">
        <v>1</v>
      </c>
      <c r="BR6" s="40" t="s">
        <v>415</v>
      </c>
      <c r="BS6" s="51" t="s">
        <v>26</v>
      </c>
      <c r="BT6" s="40" t="s">
        <v>41</v>
      </c>
      <c r="BU6" s="45" t="s">
        <v>414</v>
      </c>
      <c r="BV6" s="46">
        <v>0.64583333333333304</v>
      </c>
      <c r="BW6" s="81" t="s">
        <v>430</v>
      </c>
    </row>
    <row r="7" spans="1:75" ht="21.75" customHeight="1">
      <c r="A7" s="313"/>
      <c r="B7" s="67"/>
      <c r="C7" s="4"/>
      <c r="D7" s="4"/>
      <c r="E7" s="4"/>
      <c r="F7" s="4"/>
      <c r="G7" s="68"/>
      <c r="H7" s="4"/>
      <c r="I7" s="313"/>
      <c r="J7" s="77" t="s">
        <v>50</v>
      </c>
      <c r="K7" s="54" t="s">
        <v>51</v>
      </c>
      <c r="L7" s="39" t="s">
        <v>26</v>
      </c>
      <c r="M7" s="40" t="s">
        <v>52</v>
      </c>
      <c r="N7" s="40" t="s">
        <v>38</v>
      </c>
      <c r="O7" s="41">
        <v>0.64583333333333304</v>
      </c>
      <c r="P7" s="42">
        <v>227</v>
      </c>
      <c r="Q7" s="43"/>
      <c r="R7" s="313"/>
      <c r="S7" s="78">
        <v>3</v>
      </c>
      <c r="T7" s="40" t="s">
        <v>53</v>
      </c>
      <c r="U7" s="39" t="s">
        <v>26</v>
      </c>
      <c r="V7" s="40" t="s">
        <v>52</v>
      </c>
      <c r="W7" s="45" t="s">
        <v>38</v>
      </c>
      <c r="X7" s="46">
        <v>0.64583333333333304</v>
      </c>
      <c r="Y7" s="47" t="s">
        <v>54</v>
      </c>
      <c r="Z7" s="48"/>
      <c r="AA7" s="321"/>
      <c r="AB7" s="80">
        <v>4</v>
      </c>
      <c r="AC7" s="40" t="s">
        <v>55</v>
      </c>
      <c r="AD7" s="39" t="s">
        <v>26</v>
      </c>
      <c r="AE7" s="40" t="s">
        <v>56</v>
      </c>
      <c r="AF7" s="45" t="s">
        <v>19</v>
      </c>
      <c r="AG7" s="46">
        <v>0.64583333333333304</v>
      </c>
      <c r="AH7" s="47">
        <v>440</v>
      </c>
      <c r="AI7" s="48"/>
      <c r="AJ7" s="321"/>
      <c r="AK7" s="80">
        <v>3</v>
      </c>
      <c r="AL7" s="40" t="s">
        <v>57</v>
      </c>
      <c r="AM7" s="39" t="s">
        <v>26</v>
      </c>
      <c r="AN7" s="40" t="s">
        <v>56</v>
      </c>
      <c r="AO7" s="45" t="s">
        <v>38</v>
      </c>
      <c r="AP7" s="46">
        <v>0.64583333333333304</v>
      </c>
      <c r="AQ7" s="47"/>
      <c r="AR7" s="321"/>
      <c r="AS7" s="80">
        <v>3</v>
      </c>
      <c r="AT7" s="40" t="s">
        <v>58</v>
      </c>
      <c r="AU7" s="39" t="s">
        <v>26</v>
      </c>
      <c r="AV7" s="40" t="s">
        <v>56</v>
      </c>
      <c r="AW7" s="45" t="s">
        <v>19</v>
      </c>
      <c r="AX7" s="46">
        <v>0.64583333333333304</v>
      </c>
      <c r="AY7" s="47"/>
      <c r="AZ7" s="4"/>
      <c r="BA7" s="64">
        <v>4</v>
      </c>
      <c r="BB7" s="40" t="s">
        <v>59</v>
      </c>
      <c r="BC7" s="51" t="s">
        <v>26</v>
      </c>
      <c r="BD7" s="40" t="s">
        <v>52</v>
      </c>
      <c r="BE7" s="45" t="s">
        <v>38</v>
      </c>
      <c r="BF7" s="46">
        <v>0.64583333333333304</v>
      </c>
      <c r="BG7" s="81"/>
      <c r="BH7" s="4"/>
      <c r="BI7" s="64">
        <v>2</v>
      </c>
      <c r="BJ7" s="40" t="s">
        <v>43</v>
      </c>
      <c r="BK7" s="51" t="s">
        <v>26</v>
      </c>
      <c r="BL7" s="40" t="s">
        <v>52</v>
      </c>
      <c r="BM7" s="45" t="s">
        <v>19</v>
      </c>
      <c r="BN7" s="46">
        <v>0.64583333333333304</v>
      </c>
      <c r="BO7" s="81">
        <v>174</v>
      </c>
      <c r="BP7" s="4"/>
      <c r="BQ7" s="64">
        <v>2</v>
      </c>
      <c r="BR7" s="40" t="s">
        <v>432</v>
      </c>
      <c r="BS7" s="51" t="s">
        <v>26</v>
      </c>
      <c r="BT7" s="40" t="s">
        <v>52</v>
      </c>
      <c r="BU7" s="45" t="s">
        <v>414</v>
      </c>
      <c r="BV7" s="46">
        <v>0.64583333333333304</v>
      </c>
      <c r="BW7" s="81" t="s">
        <v>430</v>
      </c>
    </row>
    <row r="8" spans="1:75" ht="16.5" customHeight="1">
      <c r="A8" s="313"/>
      <c r="B8" s="67"/>
      <c r="C8" s="4"/>
      <c r="D8" s="4"/>
      <c r="E8" s="4"/>
      <c r="F8" s="4"/>
      <c r="G8" s="68"/>
      <c r="H8" s="4"/>
      <c r="I8" s="313"/>
      <c r="J8" s="82"/>
      <c r="K8" s="4"/>
      <c r="L8" s="4"/>
      <c r="M8" s="4"/>
      <c r="N8" s="4"/>
      <c r="O8" s="4"/>
      <c r="P8" s="68"/>
      <c r="Q8" s="4"/>
      <c r="R8" s="313"/>
      <c r="S8" s="67"/>
      <c r="T8" s="4"/>
      <c r="U8" s="4"/>
      <c r="V8" s="4"/>
      <c r="W8" s="58"/>
      <c r="X8" s="59"/>
      <c r="Y8" s="60"/>
      <c r="Z8" s="59"/>
      <c r="AA8" s="321"/>
      <c r="AB8" s="83"/>
      <c r="AC8" s="4"/>
      <c r="AD8" s="4"/>
      <c r="AE8" s="4"/>
      <c r="AF8" s="58"/>
      <c r="AG8" s="59"/>
      <c r="AH8" s="60"/>
      <c r="AI8" s="59"/>
      <c r="AJ8" s="321"/>
      <c r="AK8" s="83"/>
      <c r="AL8" s="4"/>
      <c r="AM8" s="4"/>
      <c r="AN8" s="4"/>
      <c r="AO8" s="58"/>
      <c r="AP8" s="59"/>
      <c r="AQ8" s="60"/>
      <c r="AR8" s="321"/>
      <c r="AS8" s="83"/>
      <c r="AT8" s="4"/>
      <c r="AU8" s="4"/>
      <c r="AV8" s="4"/>
      <c r="AW8" s="58"/>
      <c r="AX8" s="59"/>
      <c r="AY8" s="60"/>
      <c r="AZ8" s="4"/>
      <c r="BA8" s="84"/>
      <c r="BB8" s="4"/>
      <c r="BC8" s="4"/>
      <c r="BD8" s="4"/>
      <c r="BE8" s="58"/>
      <c r="BF8" s="59"/>
      <c r="BG8" s="85"/>
      <c r="BH8" s="4"/>
      <c r="BI8" s="84"/>
      <c r="BJ8" s="4"/>
      <c r="BK8" s="4"/>
      <c r="BL8" s="4"/>
      <c r="BM8" s="58"/>
      <c r="BN8" s="59"/>
      <c r="BO8" s="85"/>
      <c r="BP8" s="4"/>
      <c r="BQ8" s="84"/>
      <c r="BR8" s="4"/>
      <c r="BS8" s="4"/>
      <c r="BT8" s="4"/>
      <c r="BU8" s="45"/>
      <c r="BV8" s="59"/>
      <c r="BW8" s="85"/>
    </row>
    <row r="9" spans="1:75" ht="16.5" customHeight="1">
      <c r="A9" s="314" t="s">
        <v>60</v>
      </c>
      <c r="B9" s="30">
        <v>4</v>
      </c>
      <c r="C9" s="86">
        <v>42648</v>
      </c>
      <c r="D9" s="55" t="s">
        <v>52</v>
      </c>
      <c r="E9" s="76" t="s">
        <v>38</v>
      </c>
      <c r="F9" s="34">
        <v>0.64583333333333304</v>
      </c>
      <c r="G9" s="87">
        <v>288</v>
      </c>
      <c r="H9" s="88"/>
      <c r="I9" s="314" t="s">
        <v>60</v>
      </c>
      <c r="J9" s="89" t="s">
        <v>61</v>
      </c>
      <c r="K9" s="54" t="s">
        <v>62</v>
      </c>
      <c r="L9" s="39" t="s">
        <v>26</v>
      </c>
      <c r="M9" s="40" t="s">
        <v>63</v>
      </c>
      <c r="N9" s="40" t="s">
        <v>64</v>
      </c>
      <c r="O9" s="41">
        <v>0.64583333333333304</v>
      </c>
      <c r="P9" s="42">
        <v>211</v>
      </c>
      <c r="Q9" s="43"/>
      <c r="R9" s="314" t="s">
        <v>60</v>
      </c>
      <c r="S9" s="44">
        <v>4</v>
      </c>
      <c r="T9" s="40" t="s">
        <v>65</v>
      </c>
      <c r="U9" s="39" t="s">
        <v>26</v>
      </c>
      <c r="V9" s="40" t="s">
        <v>66</v>
      </c>
      <c r="W9" s="45" t="s">
        <v>38</v>
      </c>
      <c r="X9" s="46">
        <v>0.64583333333333304</v>
      </c>
      <c r="Y9" s="79"/>
      <c r="Z9" s="59"/>
      <c r="AA9" s="322" t="s">
        <v>60</v>
      </c>
      <c r="AB9" s="90">
        <v>5</v>
      </c>
      <c r="AC9" s="40" t="s">
        <v>67</v>
      </c>
      <c r="AD9" s="39" t="s">
        <v>26</v>
      </c>
      <c r="AE9" s="40" t="s">
        <v>66</v>
      </c>
      <c r="AF9" s="45" t="s">
        <v>38</v>
      </c>
      <c r="AG9" s="46">
        <v>0.64583333333333304</v>
      </c>
      <c r="AH9" s="79">
        <v>320</v>
      </c>
      <c r="AI9" s="59"/>
      <c r="AJ9" s="322" t="s">
        <v>60</v>
      </c>
      <c r="AK9" s="90">
        <v>4</v>
      </c>
      <c r="AL9" s="40" t="s">
        <v>68</v>
      </c>
      <c r="AM9" s="39" t="s">
        <v>26</v>
      </c>
      <c r="AN9" s="40" t="s">
        <v>66</v>
      </c>
      <c r="AO9" s="45" t="s">
        <v>38</v>
      </c>
      <c r="AP9" s="46">
        <v>0.64583333333333304</v>
      </c>
      <c r="AQ9" s="79"/>
      <c r="AR9" s="322" t="s">
        <v>60</v>
      </c>
      <c r="AS9" s="90">
        <v>4</v>
      </c>
      <c r="AT9" s="40" t="s">
        <v>62</v>
      </c>
      <c r="AU9" s="39" t="s">
        <v>26</v>
      </c>
      <c r="AV9" s="40" t="s">
        <v>66</v>
      </c>
      <c r="AW9" s="45" t="s">
        <v>19</v>
      </c>
      <c r="AX9" s="46">
        <v>0.64583333333333304</v>
      </c>
      <c r="AY9" s="79"/>
      <c r="AZ9" s="91" t="s">
        <v>60</v>
      </c>
      <c r="BA9" s="92">
        <v>5</v>
      </c>
      <c r="BB9" s="40" t="s">
        <v>69</v>
      </c>
      <c r="BC9" s="51" t="s">
        <v>26</v>
      </c>
      <c r="BD9" s="40" t="s">
        <v>63</v>
      </c>
      <c r="BE9" s="45" t="s">
        <v>38</v>
      </c>
      <c r="BF9" s="46">
        <v>0.64583333333333304</v>
      </c>
      <c r="BG9" s="81"/>
      <c r="BH9" s="91" t="s">
        <v>60</v>
      </c>
      <c r="BI9" s="92">
        <v>3</v>
      </c>
      <c r="BJ9" s="40" t="s">
        <v>67</v>
      </c>
      <c r="BK9" s="51" t="s">
        <v>26</v>
      </c>
      <c r="BL9" s="40" t="s">
        <v>63</v>
      </c>
      <c r="BM9" s="45" t="s">
        <v>49</v>
      </c>
      <c r="BN9" s="46">
        <v>0.64583333333333304</v>
      </c>
      <c r="BO9" s="81">
        <v>166</v>
      </c>
      <c r="BP9" s="91" t="s">
        <v>60</v>
      </c>
      <c r="BQ9" s="92">
        <v>3</v>
      </c>
      <c r="BR9" s="40" t="s">
        <v>416</v>
      </c>
      <c r="BS9" s="51" t="s">
        <v>26</v>
      </c>
      <c r="BT9" s="40" t="s">
        <v>63</v>
      </c>
      <c r="BU9" s="45" t="s">
        <v>414</v>
      </c>
      <c r="BV9" s="46">
        <v>0.64583333333333304</v>
      </c>
      <c r="BW9" s="81" t="s">
        <v>430</v>
      </c>
    </row>
    <row r="10" spans="1:75" ht="16.5" customHeight="1">
      <c r="A10" s="315"/>
      <c r="B10" s="30">
        <v>5</v>
      </c>
      <c r="C10" s="75">
        <v>43034</v>
      </c>
      <c r="D10" s="55" t="s">
        <v>70</v>
      </c>
      <c r="E10" s="76" t="s">
        <v>38</v>
      </c>
      <c r="F10" s="34">
        <v>0.64583333333333304</v>
      </c>
      <c r="G10" s="87">
        <v>419</v>
      </c>
      <c r="H10" s="88"/>
      <c r="I10" s="315"/>
      <c r="J10" s="89" t="s">
        <v>71</v>
      </c>
      <c r="K10" s="54" t="s">
        <v>72</v>
      </c>
      <c r="L10" s="39" t="s">
        <v>26</v>
      </c>
      <c r="M10" s="40" t="s">
        <v>56</v>
      </c>
      <c r="N10" s="40" t="s">
        <v>38</v>
      </c>
      <c r="O10" s="41">
        <v>0.64583333333333304</v>
      </c>
      <c r="P10" s="42">
        <v>400</v>
      </c>
      <c r="Q10" s="43"/>
      <c r="R10" s="315"/>
      <c r="S10" s="44">
        <v>5</v>
      </c>
      <c r="T10" s="40" t="s">
        <v>73</v>
      </c>
      <c r="U10" s="39" t="s">
        <v>26</v>
      </c>
      <c r="V10" s="40" t="s">
        <v>63</v>
      </c>
      <c r="W10" s="45" t="s">
        <v>38</v>
      </c>
      <c r="X10" s="46">
        <v>0.64583333333333304</v>
      </c>
      <c r="Y10" s="79"/>
      <c r="Z10" s="59"/>
      <c r="AA10" s="323"/>
      <c r="AB10" s="90">
        <v>6</v>
      </c>
      <c r="AC10" s="40" t="s">
        <v>74</v>
      </c>
      <c r="AD10" s="39" t="s">
        <v>26</v>
      </c>
      <c r="AE10" s="40" t="s">
        <v>63</v>
      </c>
      <c r="AF10" s="45" t="s">
        <v>38</v>
      </c>
      <c r="AG10" s="46">
        <v>0.64583333333333304</v>
      </c>
      <c r="AH10" s="79">
        <v>200</v>
      </c>
      <c r="AI10" s="59"/>
      <c r="AJ10" s="323"/>
      <c r="AK10" s="90">
        <v>5</v>
      </c>
      <c r="AL10" s="40" t="s">
        <v>75</v>
      </c>
      <c r="AM10" s="39" t="s">
        <v>26</v>
      </c>
      <c r="AN10" s="40" t="s">
        <v>63</v>
      </c>
      <c r="AO10" s="45" t="s">
        <v>38</v>
      </c>
      <c r="AP10" s="46">
        <v>0.64583333333333304</v>
      </c>
      <c r="AQ10" s="79"/>
      <c r="AR10" s="323"/>
      <c r="AS10" s="90">
        <v>5</v>
      </c>
      <c r="AT10" s="40" t="s">
        <v>76</v>
      </c>
      <c r="AU10" s="39" t="s">
        <v>26</v>
      </c>
      <c r="AV10" s="40" t="s">
        <v>63</v>
      </c>
      <c r="AW10" s="45" t="s">
        <v>19</v>
      </c>
      <c r="AX10" s="46">
        <v>0.64583333333333304</v>
      </c>
      <c r="AY10" s="79"/>
      <c r="AZ10" s="91"/>
      <c r="BA10" s="92">
        <v>6</v>
      </c>
      <c r="BB10" s="40" t="s">
        <v>77</v>
      </c>
      <c r="BC10" s="51" t="s">
        <v>26</v>
      </c>
      <c r="BD10" s="40" t="s">
        <v>56</v>
      </c>
      <c r="BE10" s="45" t="s">
        <v>38</v>
      </c>
      <c r="BF10" s="46">
        <v>0.64583333333333304</v>
      </c>
      <c r="BG10" s="81"/>
      <c r="BH10" s="91"/>
      <c r="BI10" s="92">
        <v>4</v>
      </c>
      <c r="BJ10" s="40" t="s">
        <v>78</v>
      </c>
      <c r="BK10" s="51" t="s">
        <v>26</v>
      </c>
      <c r="BL10" s="40" t="s">
        <v>56</v>
      </c>
      <c r="BM10" s="45" t="s">
        <v>19</v>
      </c>
      <c r="BN10" s="46">
        <v>0.64583333333333304</v>
      </c>
      <c r="BO10" s="81">
        <v>334</v>
      </c>
      <c r="BP10" s="91"/>
      <c r="BQ10" s="92">
        <v>4</v>
      </c>
      <c r="BR10" s="40" t="s">
        <v>417</v>
      </c>
      <c r="BS10" s="51" t="s">
        <v>26</v>
      </c>
      <c r="BT10" s="40" t="s">
        <v>56</v>
      </c>
      <c r="BU10" s="45" t="s">
        <v>414</v>
      </c>
      <c r="BV10" s="46">
        <v>0.64583333333333304</v>
      </c>
      <c r="BW10" s="81" t="s">
        <v>430</v>
      </c>
    </row>
    <row r="11" spans="1:75" ht="16.5" customHeight="1">
      <c r="A11" s="316"/>
      <c r="B11" s="67"/>
      <c r="C11" s="4"/>
      <c r="D11" s="4"/>
      <c r="E11" s="4"/>
      <c r="F11" s="4"/>
      <c r="G11" s="68"/>
      <c r="H11" s="4"/>
      <c r="I11" s="316"/>
      <c r="J11" s="93"/>
      <c r="K11" s="4"/>
      <c r="L11" s="4"/>
      <c r="M11" s="4"/>
      <c r="N11" s="4"/>
      <c r="O11" s="4"/>
      <c r="P11" s="68"/>
      <c r="Q11" s="4"/>
      <c r="R11" s="316"/>
      <c r="S11" s="44">
        <v>6</v>
      </c>
      <c r="T11" s="40" t="s">
        <v>79</v>
      </c>
      <c r="U11" s="39" t="s">
        <v>26</v>
      </c>
      <c r="V11" s="40" t="s">
        <v>56</v>
      </c>
      <c r="W11" s="45" t="s">
        <v>38</v>
      </c>
      <c r="X11" s="46">
        <v>0.64583333333333304</v>
      </c>
      <c r="Y11" s="79"/>
      <c r="Z11" s="59"/>
      <c r="AA11" s="324"/>
      <c r="AB11" s="90"/>
      <c r="AC11" s="94"/>
      <c r="AD11" s="95"/>
      <c r="AE11" s="96"/>
      <c r="AF11" s="97"/>
      <c r="AG11" s="98"/>
      <c r="AH11" s="99"/>
      <c r="AI11" s="100"/>
      <c r="AJ11" s="324"/>
      <c r="AK11" s="90"/>
      <c r="AL11" s="94"/>
      <c r="AM11" s="95"/>
      <c r="AN11" s="96"/>
      <c r="AO11" s="97"/>
      <c r="AP11" s="98"/>
      <c r="AQ11" s="99"/>
      <c r="AR11" s="324"/>
      <c r="AS11" s="90"/>
      <c r="AT11" s="94"/>
      <c r="AU11" s="95"/>
      <c r="AV11" s="96"/>
      <c r="AW11" s="97"/>
      <c r="AX11" s="98"/>
      <c r="AY11" s="99"/>
      <c r="AZ11" s="91"/>
      <c r="BA11" s="92"/>
      <c r="BB11" s="94"/>
      <c r="BC11" s="101"/>
      <c r="BD11" s="96"/>
      <c r="BE11" s="97"/>
      <c r="BF11" s="98"/>
      <c r="BG11" s="102"/>
      <c r="BH11" s="91"/>
      <c r="BI11" s="92"/>
      <c r="BJ11" s="94"/>
      <c r="BK11" s="101"/>
      <c r="BL11" s="96"/>
      <c r="BM11" s="97"/>
      <c r="BN11" s="98"/>
      <c r="BO11" s="102"/>
      <c r="BP11" s="91"/>
      <c r="BQ11" s="92"/>
      <c r="BR11" s="94"/>
      <c r="BS11" s="101"/>
      <c r="BT11" s="96"/>
      <c r="BU11" s="45"/>
      <c r="BV11" s="98"/>
      <c r="BW11" s="102"/>
    </row>
    <row r="12" spans="1:75" ht="16.5" customHeight="1">
      <c r="A12" s="312" t="s">
        <v>80</v>
      </c>
      <c r="B12" s="30">
        <v>6</v>
      </c>
      <c r="C12" s="103">
        <v>43048</v>
      </c>
      <c r="D12" s="55" t="s">
        <v>63</v>
      </c>
      <c r="E12" s="76" t="s">
        <v>38</v>
      </c>
      <c r="F12" s="34">
        <v>0.64583333333333304</v>
      </c>
      <c r="G12" s="35">
        <v>197</v>
      </c>
      <c r="H12" s="36"/>
      <c r="I12" s="312" t="s">
        <v>80</v>
      </c>
      <c r="J12" s="104" t="s">
        <v>81</v>
      </c>
      <c r="K12" s="54" t="s">
        <v>82</v>
      </c>
      <c r="L12" s="39" t="s">
        <v>26</v>
      </c>
      <c r="M12" s="40" t="s">
        <v>18</v>
      </c>
      <c r="N12" s="40" t="s">
        <v>38</v>
      </c>
      <c r="O12" s="41">
        <v>0.64583333333333304</v>
      </c>
      <c r="P12" s="42">
        <v>199</v>
      </c>
      <c r="Q12" s="43"/>
      <c r="R12" s="312" t="s">
        <v>80</v>
      </c>
      <c r="S12" s="78">
        <v>7</v>
      </c>
      <c r="T12" s="54" t="s">
        <v>83</v>
      </c>
      <c r="U12" s="39" t="s">
        <v>26</v>
      </c>
      <c r="V12" s="40" t="s">
        <v>18</v>
      </c>
      <c r="W12" s="45" t="s">
        <v>38</v>
      </c>
      <c r="X12" s="46">
        <v>0.64583333333333304</v>
      </c>
      <c r="Y12" s="79"/>
      <c r="Z12" s="59"/>
      <c r="AA12" s="325" t="s">
        <v>80</v>
      </c>
      <c r="AB12" s="80">
        <v>8</v>
      </c>
      <c r="AC12" s="54" t="s">
        <v>84</v>
      </c>
      <c r="AD12" s="39" t="s">
        <v>26</v>
      </c>
      <c r="AE12" s="40" t="s">
        <v>18</v>
      </c>
      <c r="AF12" s="45" t="s">
        <v>38</v>
      </c>
      <c r="AG12" s="46">
        <v>0.64583333333333304</v>
      </c>
      <c r="AH12" s="79">
        <v>131</v>
      </c>
      <c r="AI12" s="59"/>
      <c r="AJ12" s="325" t="s">
        <v>80</v>
      </c>
      <c r="AK12" s="80">
        <v>6</v>
      </c>
      <c r="AL12" s="54" t="s">
        <v>85</v>
      </c>
      <c r="AM12" s="39" t="s">
        <v>26</v>
      </c>
      <c r="AN12" s="40" t="s">
        <v>18</v>
      </c>
      <c r="AO12" s="45" t="s">
        <v>38</v>
      </c>
      <c r="AP12" s="46">
        <v>0.64583333333333304</v>
      </c>
      <c r="AQ12" s="79"/>
      <c r="AR12" s="325" t="s">
        <v>80</v>
      </c>
      <c r="AS12" s="80">
        <v>6</v>
      </c>
      <c r="AT12" s="54" t="s">
        <v>86</v>
      </c>
      <c r="AU12" s="39" t="s">
        <v>26</v>
      </c>
      <c r="AV12" s="40" t="s">
        <v>18</v>
      </c>
      <c r="AW12" s="45" t="s">
        <v>19</v>
      </c>
      <c r="AX12" s="46">
        <v>0.64583333333333304</v>
      </c>
      <c r="AY12" s="79"/>
      <c r="AZ12" s="105" t="s">
        <v>80</v>
      </c>
      <c r="BA12" s="64">
        <v>7</v>
      </c>
      <c r="BB12" s="54" t="s">
        <v>82</v>
      </c>
      <c r="BC12" s="51" t="s">
        <v>26</v>
      </c>
      <c r="BD12" s="40" t="s">
        <v>66</v>
      </c>
      <c r="BE12" s="45" t="s">
        <v>38</v>
      </c>
      <c r="BF12" s="46">
        <v>0.64583333333333304</v>
      </c>
      <c r="BG12" s="81"/>
      <c r="BH12" s="105" t="s">
        <v>80</v>
      </c>
      <c r="BI12" s="64">
        <v>5</v>
      </c>
      <c r="BJ12" s="54" t="s">
        <v>84</v>
      </c>
      <c r="BK12" s="51" t="s">
        <v>26</v>
      </c>
      <c r="BL12" s="40" t="s">
        <v>66</v>
      </c>
      <c r="BM12" s="45" t="s">
        <v>49</v>
      </c>
      <c r="BN12" s="46">
        <v>5</v>
      </c>
      <c r="BO12" s="81">
        <v>218</v>
      </c>
      <c r="BP12" s="105" t="s">
        <v>80</v>
      </c>
      <c r="BQ12" s="64">
        <v>5</v>
      </c>
      <c r="BR12" s="54" t="s">
        <v>418</v>
      </c>
      <c r="BS12" s="51" t="s">
        <v>26</v>
      </c>
      <c r="BT12" s="40" t="s">
        <v>66</v>
      </c>
      <c r="BU12" s="45" t="s">
        <v>414</v>
      </c>
      <c r="BV12" s="46">
        <v>5</v>
      </c>
      <c r="BW12" s="81" t="s">
        <v>430</v>
      </c>
    </row>
    <row r="13" spans="1:75" ht="16.5" customHeight="1">
      <c r="A13" s="313"/>
      <c r="B13" s="30">
        <v>7</v>
      </c>
      <c r="C13" s="75">
        <v>43055</v>
      </c>
      <c r="D13" s="55" t="s">
        <v>66</v>
      </c>
      <c r="E13" s="76" t="s">
        <v>38</v>
      </c>
      <c r="F13" s="34">
        <v>0.64583333333333304</v>
      </c>
      <c r="G13" s="35">
        <v>289</v>
      </c>
      <c r="H13" s="36"/>
      <c r="I13" s="313"/>
      <c r="J13" s="104" t="s">
        <v>87</v>
      </c>
      <c r="K13" s="54" t="s">
        <v>88</v>
      </c>
      <c r="L13" s="39" t="s">
        <v>21</v>
      </c>
      <c r="M13" s="40" t="s">
        <v>89</v>
      </c>
      <c r="N13" s="40" t="s">
        <v>38</v>
      </c>
      <c r="O13" s="41">
        <v>0.60416666666666696</v>
      </c>
      <c r="P13" s="42">
        <v>284</v>
      </c>
      <c r="Q13" s="43"/>
      <c r="R13" s="313"/>
      <c r="S13" s="78">
        <v>8</v>
      </c>
      <c r="T13" s="54" t="s">
        <v>90</v>
      </c>
      <c r="U13" s="39" t="s">
        <v>21</v>
      </c>
      <c r="V13" s="40" t="s">
        <v>89</v>
      </c>
      <c r="W13" s="45" t="s">
        <v>38</v>
      </c>
      <c r="X13" s="46">
        <v>0.60416666666666696</v>
      </c>
      <c r="Y13" s="79"/>
      <c r="Z13" s="59"/>
      <c r="AA13" s="323"/>
      <c r="AB13" s="80">
        <v>9</v>
      </c>
      <c r="AC13" s="54" t="s">
        <v>91</v>
      </c>
      <c r="AD13" s="39" t="s">
        <v>26</v>
      </c>
      <c r="AE13" s="40" t="s">
        <v>92</v>
      </c>
      <c r="AF13" s="45" t="s">
        <v>38</v>
      </c>
      <c r="AG13" s="46">
        <v>0.60416666666666696</v>
      </c>
      <c r="AH13" s="79">
        <v>143</v>
      </c>
      <c r="AI13" s="59"/>
      <c r="AJ13" s="323"/>
      <c r="AK13" s="80">
        <v>7</v>
      </c>
      <c r="AL13" s="54" t="s">
        <v>93</v>
      </c>
      <c r="AM13" s="39" t="s">
        <v>26</v>
      </c>
      <c r="AN13" s="40" t="s">
        <v>92</v>
      </c>
      <c r="AO13" s="45" t="s">
        <v>38</v>
      </c>
      <c r="AP13" s="46">
        <v>0.60416666666666696</v>
      </c>
      <c r="AQ13" s="79"/>
      <c r="AR13" s="323"/>
      <c r="AS13" s="80">
        <v>7</v>
      </c>
      <c r="AT13" s="54" t="s">
        <v>94</v>
      </c>
      <c r="AU13" s="39" t="s">
        <v>26</v>
      </c>
      <c r="AV13" s="40" t="s">
        <v>92</v>
      </c>
      <c r="AW13" s="45" t="s">
        <v>19</v>
      </c>
      <c r="AX13" s="46">
        <v>0.60416666666666696</v>
      </c>
      <c r="AY13" s="79"/>
      <c r="AZ13" s="105"/>
      <c r="BA13" s="64">
        <v>8</v>
      </c>
      <c r="BB13" s="54" t="s">
        <v>95</v>
      </c>
      <c r="BC13" s="65" t="s">
        <v>21</v>
      </c>
      <c r="BD13" s="40" t="s">
        <v>89</v>
      </c>
      <c r="BE13" s="45" t="s">
        <v>38</v>
      </c>
      <c r="BF13" s="46"/>
      <c r="BG13" s="81"/>
      <c r="BH13" s="105"/>
      <c r="BI13" s="64">
        <v>6</v>
      </c>
      <c r="BJ13" s="106">
        <v>46079</v>
      </c>
      <c r="BK13" s="65" t="s">
        <v>21</v>
      </c>
      <c r="BL13" s="40" t="s">
        <v>89</v>
      </c>
      <c r="BM13" s="45" t="s">
        <v>19</v>
      </c>
      <c r="BN13" s="46"/>
      <c r="BO13" s="81">
        <v>71</v>
      </c>
      <c r="BP13" s="105"/>
      <c r="BQ13" s="64">
        <v>6</v>
      </c>
      <c r="BR13" s="106" t="s">
        <v>419</v>
      </c>
      <c r="BS13" s="65" t="s">
        <v>21</v>
      </c>
      <c r="BT13" s="40" t="s">
        <v>89</v>
      </c>
      <c r="BU13" s="45" t="s">
        <v>414</v>
      </c>
      <c r="BV13" s="46"/>
      <c r="BW13" s="81" t="s">
        <v>430</v>
      </c>
    </row>
    <row r="14" spans="1:75" ht="16.5" customHeight="1">
      <c r="A14" s="313"/>
      <c r="B14" s="30">
        <v>8</v>
      </c>
      <c r="C14" s="75">
        <v>42697</v>
      </c>
      <c r="D14" s="55" t="s">
        <v>96</v>
      </c>
      <c r="E14" s="76" t="s">
        <v>38</v>
      </c>
      <c r="F14" s="34">
        <v>0.45833333333333298</v>
      </c>
      <c r="G14" s="87">
        <v>356</v>
      </c>
      <c r="H14" s="88"/>
      <c r="I14" s="313"/>
      <c r="J14" s="82"/>
      <c r="K14" s="4"/>
      <c r="L14" s="4"/>
      <c r="M14" s="4"/>
      <c r="N14" s="4"/>
      <c r="O14" s="4"/>
      <c r="P14" s="68"/>
      <c r="Q14" s="4"/>
      <c r="R14" s="313"/>
      <c r="S14" s="67"/>
      <c r="T14" s="4"/>
      <c r="U14" s="4"/>
      <c r="V14" s="4"/>
      <c r="W14" s="58"/>
      <c r="X14" s="59"/>
      <c r="Y14" s="60"/>
      <c r="Z14" s="59"/>
      <c r="AA14" s="324"/>
      <c r="AB14" s="83"/>
      <c r="AC14" s="4"/>
      <c r="AD14" s="4"/>
      <c r="AE14" s="4"/>
      <c r="AF14" s="58"/>
      <c r="AG14" s="59"/>
      <c r="AH14" s="60"/>
      <c r="AI14" s="59"/>
      <c r="AJ14" s="324"/>
      <c r="AK14" s="83"/>
      <c r="AL14" s="4"/>
      <c r="AM14" s="4"/>
      <c r="AN14" s="4"/>
      <c r="AO14" s="58"/>
      <c r="AP14" s="59"/>
      <c r="AQ14" s="60"/>
      <c r="AR14" s="324"/>
      <c r="AS14" s="83"/>
      <c r="AT14" s="4"/>
      <c r="AU14" s="4"/>
      <c r="AV14" s="4"/>
      <c r="AW14" s="58"/>
      <c r="AX14" s="59"/>
      <c r="AY14" s="60"/>
      <c r="AZ14" s="105"/>
      <c r="BA14" s="84"/>
      <c r="BB14" s="4"/>
      <c r="BC14" s="4"/>
      <c r="BD14" s="4"/>
      <c r="BE14" s="58"/>
      <c r="BF14" s="59"/>
      <c r="BG14" s="85"/>
      <c r="BH14" s="105"/>
      <c r="BI14" s="84"/>
      <c r="BJ14" s="4"/>
      <c r="BK14" s="4"/>
      <c r="BL14" s="4"/>
      <c r="BM14" s="58"/>
      <c r="BN14" s="59"/>
      <c r="BO14" s="85"/>
      <c r="BP14" s="105"/>
      <c r="BQ14" s="84"/>
      <c r="BR14" s="4"/>
      <c r="BS14" s="4"/>
      <c r="BT14" s="4"/>
      <c r="BU14" s="45"/>
      <c r="BV14" s="59"/>
      <c r="BW14" s="85"/>
    </row>
    <row r="15" spans="1:75" ht="16.5" customHeight="1">
      <c r="A15" s="314" t="s">
        <v>97</v>
      </c>
      <c r="B15" s="30">
        <v>9</v>
      </c>
      <c r="C15" s="75">
        <v>42711</v>
      </c>
      <c r="D15" s="55" t="s">
        <v>89</v>
      </c>
      <c r="E15" s="76" t="s">
        <v>38</v>
      </c>
      <c r="F15" s="34">
        <v>0.45833333333333298</v>
      </c>
      <c r="G15" s="87">
        <v>72</v>
      </c>
      <c r="H15" s="88"/>
      <c r="I15" s="314" t="s">
        <v>97</v>
      </c>
      <c r="J15" s="107" t="s">
        <v>98</v>
      </c>
      <c r="K15" s="108" t="s">
        <v>99</v>
      </c>
      <c r="L15" s="39" t="s">
        <v>26</v>
      </c>
      <c r="M15" s="40" t="s">
        <v>100</v>
      </c>
      <c r="N15" s="40" t="s">
        <v>38</v>
      </c>
      <c r="O15" s="109">
        <v>0.64583333333333304</v>
      </c>
      <c r="P15" s="42">
        <v>600</v>
      </c>
      <c r="Q15" s="43"/>
      <c r="R15" s="314" t="s">
        <v>97</v>
      </c>
      <c r="S15" s="44">
        <v>9</v>
      </c>
      <c r="T15" s="108" t="s">
        <v>101</v>
      </c>
      <c r="U15" s="39" t="s">
        <v>26</v>
      </c>
      <c r="V15" s="40" t="s">
        <v>100</v>
      </c>
      <c r="W15" s="45" t="s">
        <v>38</v>
      </c>
      <c r="X15" s="110">
        <v>0.64583333333333304</v>
      </c>
      <c r="Y15" s="47"/>
      <c r="Z15" s="48"/>
      <c r="AA15" s="326" t="s">
        <v>97</v>
      </c>
      <c r="AB15" s="44">
        <v>9</v>
      </c>
      <c r="AC15" s="108" t="s">
        <v>102</v>
      </c>
      <c r="AD15" s="39" t="s">
        <v>26</v>
      </c>
      <c r="AE15" s="40" t="s">
        <v>100</v>
      </c>
      <c r="AF15" s="45" t="s">
        <v>38</v>
      </c>
      <c r="AG15" s="110">
        <v>0.64583333333333304</v>
      </c>
      <c r="AH15" s="47">
        <v>399</v>
      </c>
      <c r="AI15" s="48"/>
      <c r="AJ15" s="326" t="s">
        <v>97</v>
      </c>
      <c r="AK15" s="44">
        <v>8</v>
      </c>
      <c r="AL15" s="108" t="s">
        <v>103</v>
      </c>
      <c r="AM15" s="39" t="s">
        <v>26</v>
      </c>
      <c r="AN15" s="40" t="s">
        <v>100</v>
      </c>
      <c r="AO15" s="45" t="s">
        <v>38</v>
      </c>
      <c r="AP15" s="110">
        <v>0.64583333333333304</v>
      </c>
      <c r="AQ15" s="47"/>
      <c r="AR15" s="326" t="s">
        <v>97</v>
      </c>
      <c r="AS15" s="44">
        <v>8</v>
      </c>
      <c r="AT15" s="108" t="s">
        <v>104</v>
      </c>
      <c r="AU15" s="39" t="s">
        <v>26</v>
      </c>
      <c r="AV15" s="40" t="s">
        <v>100</v>
      </c>
      <c r="AW15" s="45" t="s">
        <v>19</v>
      </c>
      <c r="AX15" s="110">
        <v>0.64583333333333304</v>
      </c>
      <c r="AY15" s="47"/>
      <c r="AZ15" s="49" t="s">
        <v>97</v>
      </c>
      <c r="BA15" s="50">
        <v>9</v>
      </c>
      <c r="BB15" s="108" t="s">
        <v>105</v>
      </c>
      <c r="BC15" s="51" t="s">
        <v>26</v>
      </c>
      <c r="BD15" s="40" t="s">
        <v>100</v>
      </c>
      <c r="BE15" s="45" t="s">
        <v>38</v>
      </c>
      <c r="BF15" s="46">
        <v>0.64583333333333304</v>
      </c>
      <c r="BG15" s="81"/>
      <c r="BH15" s="49" t="s">
        <v>97</v>
      </c>
      <c r="BI15" s="50">
        <v>7</v>
      </c>
      <c r="BJ15" s="108" t="s">
        <v>106</v>
      </c>
      <c r="BK15" s="51" t="s">
        <v>26</v>
      </c>
      <c r="BL15" s="40" t="s">
        <v>100</v>
      </c>
      <c r="BM15" s="45" t="s">
        <v>19</v>
      </c>
      <c r="BN15" s="46">
        <v>0.64583333333333304</v>
      </c>
      <c r="BO15" s="81">
        <v>267</v>
      </c>
      <c r="BP15" s="49" t="s">
        <v>97</v>
      </c>
      <c r="BQ15" s="50">
        <v>7</v>
      </c>
      <c r="BR15" s="108" t="s">
        <v>420</v>
      </c>
      <c r="BS15" s="51" t="s">
        <v>26</v>
      </c>
      <c r="BT15" s="40" t="s">
        <v>100</v>
      </c>
      <c r="BU15" s="45" t="s">
        <v>414</v>
      </c>
      <c r="BV15" s="46">
        <v>0.64583333333333304</v>
      </c>
      <c r="BW15" s="81" t="s">
        <v>430</v>
      </c>
    </row>
    <row r="16" spans="1:75" ht="16.5" customHeight="1">
      <c r="A16" s="315"/>
      <c r="B16" s="30">
        <v>10</v>
      </c>
      <c r="C16" s="75">
        <v>43083</v>
      </c>
      <c r="D16" s="55" t="s">
        <v>107</v>
      </c>
      <c r="E16" s="76" t="s">
        <v>38</v>
      </c>
      <c r="F16" s="34">
        <v>0.64583333333333304</v>
      </c>
      <c r="G16" s="87">
        <v>520</v>
      </c>
      <c r="H16" s="88"/>
      <c r="I16" s="315"/>
      <c r="J16" s="107" t="s">
        <v>108</v>
      </c>
      <c r="K16" s="108">
        <v>43082</v>
      </c>
      <c r="L16" s="39" t="s">
        <v>21</v>
      </c>
      <c r="M16" s="40" t="s">
        <v>109</v>
      </c>
      <c r="N16" s="40" t="s">
        <v>38</v>
      </c>
      <c r="O16" s="41">
        <v>0.47916666666666702</v>
      </c>
      <c r="P16" s="42">
        <v>446</v>
      </c>
      <c r="Q16" s="43"/>
      <c r="R16" s="315"/>
      <c r="S16" s="44">
        <v>10</v>
      </c>
      <c r="T16" s="108" t="s">
        <v>110</v>
      </c>
      <c r="U16" s="39" t="s">
        <v>21</v>
      </c>
      <c r="V16" s="40" t="s">
        <v>109</v>
      </c>
      <c r="W16" s="45" t="s">
        <v>38</v>
      </c>
      <c r="X16" s="46">
        <v>0.47916666666666702</v>
      </c>
      <c r="Y16" s="47"/>
      <c r="Z16" s="48"/>
      <c r="AA16" s="323"/>
      <c r="AB16" s="44">
        <v>10</v>
      </c>
      <c r="AC16" s="108" t="s">
        <v>111</v>
      </c>
      <c r="AD16" s="39" t="s">
        <v>21</v>
      </c>
      <c r="AE16" s="40" t="s">
        <v>109</v>
      </c>
      <c r="AF16" s="45" t="s">
        <v>33</v>
      </c>
      <c r="AG16" s="46">
        <v>0.4375</v>
      </c>
      <c r="AH16" s="47">
        <v>448</v>
      </c>
      <c r="AI16" s="48"/>
      <c r="AJ16" s="323"/>
      <c r="AK16" s="44">
        <v>9</v>
      </c>
      <c r="AL16" s="108" t="s">
        <v>112</v>
      </c>
      <c r="AM16" s="39" t="s">
        <v>21</v>
      </c>
      <c r="AN16" s="40" t="s">
        <v>109</v>
      </c>
      <c r="AO16" s="45" t="s">
        <v>33</v>
      </c>
      <c r="AP16" s="46">
        <v>0.4375</v>
      </c>
      <c r="AQ16" s="47"/>
      <c r="AR16" s="323"/>
      <c r="AS16" s="44">
        <v>9</v>
      </c>
      <c r="AT16" s="108" t="s">
        <v>112</v>
      </c>
      <c r="AU16" s="39" t="s">
        <v>21</v>
      </c>
      <c r="AV16" s="40" t="s">
        <v>109</v>
      </c>
      <c r="AW16" s="45"/>
      <c r="AX16" s="46">
        <v>0.4375</v>
      </c>
      <c r="AY16" s="47"/>
      <c r="AZ16" s="49"/>
      <c r="BA16" s="50">
        <v>10</v>
      </c>
      <c r="BB16" s="108" t="s">
        <v>113</v>
      </c>
      <c r="BC16" s="65" t="s">
        <v>21</v>
      </c>
      <c r="BD16" s="40" t="s">
        <v>109</v>
      </c>
      <c r="BE16" s="45"/>
      <c r="BF16" s="46"/>
      <c r="BG16" s="81"/>
      <c r="BH16" s="49"/>
      <c r="BI16" s="50">
        <v>8</v>
      </c>
      <c r="BJ16" s="108">
        <v>46015</v>
      </c>
      <c r="BK16" s="65" t="s">
        <v>21</v>
      </c>
      <c r="BL16" s="40" t="s">
        <v>109</v>
      </c>
      <c r="BM16" s="45"/>
      <c r="BN16" s="46"/>
      <c r="BO16" s="81">
        <v>231</v>
      </c>
      <c r="BP16" s="49"/>
      <c r="BQ16" s="50">
        <v>8</v>
      </c>
      <c r="BR16" s="108" t="s">
        <v>421</v>
      </c>
      <c r="BS16" s="65" t="s">
        <v>21</v>
      </c>
      <c r="BT16" s="40" t="s">
        <v>109</v>
      </c>
      <c r="BU16" s="45"/>
      <c r="BV16" s="46"/>
      <c r="BW16" s="81" t="s">
        <v>430</v>
      </c>
    </row>
    <row r="17" spans="1:75" ht="16.5" customHeight="1">
      <c r="A17" s="316"/>
      <c r="B17" s="30">
        <v>12</v>
      </c>
      <c r="C17" s="75">
        <v>43097</v>
      </c>
      <c r="D17" s="55" t="s">
        <v>114</v>
      </c>
      <c r="E17" s="76" t="s">
        <v>38</v>
      </c>
      <c r="F17" s="34">
        <v>0.64583333333333304</v>
      </c>
      <c r="G17" s="87">
        <v>560</v>
      </c>
      <c r="H17" s="88"/>
      <c r="I17" s="316"/>
      <c r="J17" s="107" t="s">
        <v>115</v>
      </c>
      <c r="K17" s="108">
        <v>43085</v>
      </c>
      <c r="L17" s="39" t="s">
        <v>26</v>
      </c>
      <c r="M17" s="40" t="s">
        <v>116</v>
      </c>
      <c r="N17" s="40" t="s">
        <v>23</v>
      </c>
      <c r="O17" s="41">
        <v>0.64583333333333304</v>
      </c>
      <c r="P17" s="42">
        <v>80</v>
      </c>
      <c r="Q17" s="43"/>
      <c r="R17" s="316"/>
      <c r="S17" s="57"/>
      <c r="T17" s="4"/>
      <c r="U17" s="4"/>
      <c r="V17" s="4"/>
      <c r="W17" s="58"/>
      <c r="X17" s="59"/>
      <c r="Y17" s="60"/>
      <c r="Z17" s="59"/>
      <c r="AA17" s="324"/>
      <c r="AB17" s="57"/>
      <c r="AC17" s="4"/>
      <c r="AD17" s="4"/>
      <c r="AE17" s="4"/>
      <c r="AF17" s="58"/>
      <c r="AG17" s="59"/>
      <c r="AH17" s="60"/>
      <c r="AI17" s="59"/>
      <c r="AJ17" s="324"/>
      <c r="AK17" s="57"/>
      <c r="AL17" s="4"/>
      <c r="AM17" s="4"/>
      <c r="AN17" s="4"/>
      <c r="AO17" s="58"/>
      <c r="AP17" s="59"/>
      <c r="AQ17" s="60"/>
      <c r="AR17" s="324"/>
      <c r="AS17" s="57"/>
      <c r="AT17" s="4"/>
      <c r="AU17" s="4"/>
      <c r="AV17" s="4"/>
      <c r="AW17" s="58"/>
      <c r="AX17" s="59"/>
      <c r="AY17" s="60"/>
      <c r="AZ17" s="49"/>
      <c r="BA17" s="111"/>
      <c r="BB17" s="4"/>
      <c r="BC17" s="4"/>
      <c r="BD17" s="4"/>
      <c r="BE17" s="58"/>
      <c r="BF17" s="59"/>
      <c r="BG17" s="85"/>
      <c r="BH17" s="49"/>
      <c r="BI17" s="111"/>
      <c r="BJ17" s="4"/>
      <c r="BK17" s="4"/>
      <c r="BL17" s="4"/>
      <c r="BM17" s="58"/>
      <c r="BN17" s="59"/>
      <c r="BO17" s="85"/>
      <c r="BP17" s="49"/>
      <c r="BQ17" s="111"/>
      <c r="BR17" s="4"/>
      <c r="BS17" s="4"/>
      <c r="BT17" s="4"/>
      <c r="BU17" s="58"/>
      <c r="BV17" s="59"/>
      <c r="BW17" s="85" t="s">
        <v>430</v>
      </c>
    </row>
    <row r="18" spans="1:75" ht="16.5" customHeight="1">
      <c r="A18" s="312" t="s">
        <v>117</v>
      </c>
      <c r="B18" s="30">
        <v>13</v>
      </c>
      <c r="C18" s="75">
        <v>42739</v>
      </c>
      <c r="D18" s="55" t="s">
        <v>118</v>
      </c>
      <c r="E18" s="76" t="s">
        <v>38</v>
      </c>
      <c r="F18" s="34">
        <v>0.64583333333333304</v>
      </c>
      <c r="G18" s="87">
        <v>165</v>
      </c>
      <c r="H18" s="88"/>
      <c r="I18" s="312" t="s">
        <v>117</v>
      </c>
      <c r="J18" s="104" t="s">
        <v>119</v>
      </c>
      <c r="K18" s="108" t="s">
        <v>120</v>
      </c>
      <c r="L18" s="39" t="s">
        <v>26</v>
      </c>
      <c r="M18" s="40" t="s">
        <v>114</v>
      </c>
      <c r="N18" s="40" t="s">
        <v>38</v>
      </c>
      <c r="O18" s="41">
        <v>0.64583333333333304</v>
      </c>
      <c r="P18" s="42">
        <v>360</v>
      </c>
      <c r="Q18" s="43"/>
      <c r="R18" s="312" t="s">
        <v>117</v>
      </c>
      <c r="S18" s="78">
        <v>11</v>
      </c>
      <c r="T18" s="108" t="s">
        <v>121</v>
      </c>
      <c r="U18" s="39" t="s">
        <v>26</v>
      </c>
      <c r="V18" s="40" t="s">
        <v>114</v>
      </c>
      <c r="W18" s="45" t="s">
        <v>38</v>
      </c>
      <c r="X18" s="46">
        <v>0.64583333333333304</v>
      </c>
      <c r="Y18" s="47"/>
      <c r="Z18" s="48"/>
      <c r="AA18" s="320" t="s">
        <v>117</v>
      </c>
      <c r="AB18" s="78">
        <v>11</v>
      </c>
      <c r="AC18" s="108" t="s">
        <v>122</v>
      </c>
      <c r="AD18" s="39" t="s">
        <v>26</v>
      </c>
      <c r="AE18" s="40" t="s">
        <v>114</v>
      </c>
      <c r="AF18" s="45" t="s">
        <v>38</v>
      </c>
      <c r="AG18" s="46">
        <v>0.64583333333333304</v>
      </c>
      <c r="AH18" s="47">
        <v>387</v>
      </c>
      <c r="AI18" s="48"/>
      <c r="AJ18" s="320" t="s">
        <v>117</v>
      </c>
      <c r="AK18" s="78">
        <v>10</v>
      </c>
      <c r="AL18" s="108" t="s">
        <v>123</v>
      </c>
      <c r="AM18" s="39" t="s">
        <v>26</v>
      </c>
      <c r="AN18" s="40" t="s">
        <v>114</v>
      </c>
      <c r="AO18" s="45" t="s">
        <v>38</v>
      </c>
      <c r="AP18" s="46">
        <v>0.64583333333333304</v>
      </c>
      <c r="AQ18" s="47"/>
      <c r="AR18" s="320" t="s">
        <v>117</v>
      </c>
      <c r="AS18" s="78">
        <v>10</v>
      </c>
      <c r="AT18" s="108" t="s">
        <v>124</v>
      </c>
      <c r="AU18" s="39" t="s">
        <v>26</v>
      </c>
      <c r="AV18" s="40" t="s">
        <v>114</v>
      </c>
      <c r="AW18" s="45" t="s">
        <v>19</v>
      </c>
      <c r="AX18" s="46">
        <v>0.64583333333333304</v>
      </c>
      <c r="AY18" s="47"/>
      <c r="AZ18" s="4" t="s">
        <v>117</v>
      </c>
      <c r="BA18" s="112">
        <v>11</v>
      </c>
      <c r="BB18" s="108" t="s">
        <v>121</v>
      </c>
      <c r="BC18" s="113" t="s">
        <v>125</v>
      </c>
      <c r="BD18" s="40" t="s">
        <v>118</v>
      </c>
      <c r="BE18" s="45" t="s">
        <v>38</v>
      </c>
      <c r="BF18" s="46">
        <v>0.64583333333333304</v>
      </c>
      <c r="BG18" s="81"/>
      <c r="BH18" s="4" t="s">
        <v>117</v>
      </c>
      <c r="BI18" s="112">
        <v>9</v>
      </c>
      <c r="BJ18" s="108" t="s">
        <v>122</v>
      </c>
      <c r="BK18" s="113" t="s">
        <v>125</v>
      </c>
      <c r="BL18" s="40" t="s">
        <v>118</v>
      </c>
      <c r="BM18" s="45" t="s">
        <v>49</v>
      </c>
      <c r="BN18" s="46">
        <v>0.64583333333333304</v>
      </c>
      <c r="BO18" s="81">
        <v>178</v>
      </c>
      <c r="BP18" s="4" t="s">
        <v>117</v>
      </c>
      <c r="BQ18" s="112">
        <v>9</v>
      </c>
      <c r="BR18" s="108" t="s">
        <v>422</v>
      </c>
      <c r="BS18" s="113" t="s">
        <v>125</v>
      </c>
      <c r="BT18" s="40" t="s">
        <v>118</v>
      </c>
      <c r="BU18" s="45" t="s">
        <v>414</v>
      </c>
      <c r="BV18" s="46">
        <v>0.64583333333333304</v>
      </c>
      <c r="BW18" s="81" t="s">
        <v>430</v>
      </c>
    </row>
    <row r="19" spans="1:75" ht="16.5" customHeight="1">
      <c r="A19" s="313"/>
      <c r="B19" s="30">
        <v>14</v>
      </c>
      <c r="C19" s="75">
        <v>42746</v>
      </c>
      <c r="D19" s="55" t="s">
        <v>126</v>
      </c>
      <c r="E19" s="76" t="s">
        <v>38</v>
      </c>
      <c r="F19" s="34">
        <v>0.64583333333333304</v>
      </c>
      <c r="G19" s="87">
        <v>305</v>
      </c>
      <c r="H19" s="88"/>
      <c r="I19" s="313"/>
      <c r="J19" s="104" t="s">
        <v>127</v>
      </c>
      <c r="K19" s="108" t="s">
        <v>128</v>
      </c>
      <c r="L19" s="114" t="s">
        <v>125</v>
      </c>
      <c r="M19" s="40" t="s">
        <v>118</v>
      </c>
      <c r="N19" s="40" t="s">
        <v>38</v>
      </c>
      <c r="O19" s="41">
        <v>0.64583333333333304</v>
      </c>
      <c r="P19" s="42">
        <v>220</v>
      </c>
      <c r="Q19" s="43"/>
      <c r="R19" s="313"/>
      <c r="S19" s="78">
        <v>12</v>
      </c>
      <c r="T19" s="108" t="s">
        <v>129</v>
      </c>
      <c r="U19" s="114" t="s">
        <v>125</v>
      </c>
      <c r="V19" s="40" t="s">
        <v>118</v>
      </c>
      <c r="W19" s="45" t="s">
        <v>38</v>
      </c>
      <c r="X19" s="46">
        <v>0.64583333333333304</v>
      </c>
      <c r="Y19" s="47"/>
      <c r="Z19" s="48"/>
      <c r="AA19" s="321"/>
      <c r="AB19" s="78">
        <v>12</v>
      </c>
      <c r="AC19" s="108" t="s">
        <v>130</v>
      </c>
      <c r="AD19" s="114" t="s">
        <v>125</v>
      </c>
      <c r="AE19" s="40" t="s">
        <v>118</v>
      </c>
      <c r="AF19" s="45" t="s">
        <v>38</v>
      </c>
      <c r="AG19" s="46">
        <v>0.64583333333333304</v>
      </c>
      <c r="AH19" s="47">
        <v>204</v>
      </c>
      <c r="AI19" s="48"/>
      <c r="AJ19" s="321"/>
      <c r="AK19" s="78">
        <v>11</v>
      </c>
      <c r="AL19" s="108" t="s">
        <v>131</v>
      </c>
      <c r="AM19" s="114" t="s">
        <v>125</v>
      </c>
      <c r="AN19" s="40" t="s">
        <v>118</v>
      </c>
      <c r="AO19" s="45" t="s">
        <v>38</v>
      </c>
      <c r="AP19" s="46">
        <v>0.64583333333333304</v>
      </c>
      <c r="AQ19" s="47"/>
      <c r="AR19" s="321"/>
      <c r="AS19" s="78">
        <v>11</v>
      </c>
      <c r="AT19" s="108" t="s">
        <v>124</v>
      </c>
      <c r="AU19" s="114" t="s">
        <v>125</v>
      </c>
      <c r="AV19" s="40" t="s">
        <v>118</v>
      </c>
      <c r="AW19" s="45" t="s">
        <v>19</v>
      </c>
      <c r="AX19" s="46">
        <v>0.64583333333333304</v>
      </c>
      <c r="AY19" s="47"/>
      <c r="AZ19" s="4"/>
      <c r="BA19" s="112">
        <v>12</v>
      </c>
      <c r="BB19" s="108" t="s">
        <v>129</v>
      </c>
      <c r="BC19" s="51" t="s">
        <v>26</v>
      </c>
      <c r="BD19" s="40" t="s">
        <v>44</v>
      </c>
      <c r="BE19" s="45" t="s">
        <v>38</v>
      </c>
      <c r="BF19" s="46">
        <v>0.64583333333333304</v>
      </c>
      <c r="BG19" s="81"/>
      <c r="BH19" s="4"/>
      <c r="BI19" s="112">
        <v>10</v>
      </c>
      <c r="BJ19" s="108" t="s">
        <v>132</v>
      </c>
      <c r="BK19" s="51" t="s">
        <v>26</v>
      </c>
      <c r="BL19" s="40" t="s">
        <v>44</v>
      </c>
      <c r="BM19" s="45" t="s">
        <v>19</v>
      </c>
      <c r="BN19" s="46">
        <v>0.64583333333333304</v>
      </c>
      <c r="BO19" s="81">
        <v>141</v>
      </c>
      <c r="BP19" s="4"/>
      <c r="BQ19" s="112">
        <v>10</v>
      </c>
      <c r="BR19" s="108" t="s">
        <v>423</v>
      </c>
      <c r="BS19" s="51" t="s">
        <v>26</v>
      </c>
      <c r="BT19" s="40" t="s">
        <v>44</v>
      </c>
      <c r="BU19" s="45" t="s">
        <v>414</v>
      </c>
      <c r="BV19" s="46">
        <v>0.64583333333333304</v>
      </c>
      <c r="BW19" s="81" t="s">
        <v>430</v>
      </c>
    </row>
    <row r="20" spans="1:75" ht="16.5" customHeight="1">
      <c r="A20" s="313"/>
      <c r="B20" s="67"/>
      <c r="C20" s="4"/>
      <c r="D20" s="4"/>
      <c r="E20" s="4"/>
      <c r="F20" s="4"/>
      <c r="G20" s="68"/>
      <c r="H20" s="4"/>
      <c r="I20" s="313"/>
      <c r="J20" s="9"/>
      <c r="K20" s="4"/>
      <c r="L20" s="4"/>
      <c r="M20" s="4"/>
      <c r="N20" s="4"/>
      <c r="O20" s="4"/>
      <c r="P20" s="68"/>
      <c r="Q20" s="4"/>
      <c r="R20" s="313"/>
      <c r="S20" s="67"/>
      <c r="T20" s="4"/>
      <c r="U20" s="4"/>
      <c r="V20" s="4"/>
      <c r="W20" s="58"/>
      <c r="X20" s="59"/>
      <c r="Y20" s="60"/>
      <c r="Z20" s="59"/>
      <c r="AA20" s="321"/>
      <c r="AB20" s="67"/>
      <c r="AC20" s="4"/>
      <c r="AD20" s="4"/>
      <c r="AE20" s="4"/>
      <c r="AF20" s="58"/>
      <c r="AG20" s="59"/>
      <c r="AH20" s="60"/>
      <c r="AI20" s="59"/>
      <c r="AJ20" s="321"/>
      <c r="AK20" s="67"/>
      <c r="AL20" s="4"/>
      <c r="AM20" s="4"/>
      <c r="AN20" s="4"/>
      <c r="AO20" s="58"/>
      <c r="AP20" s="59"/>
      <c r="AQ20" s="60"/>
      <c r="AR20" s="321"/>
      <c r="AS20" s="67"/>
      <c r="AT20" s="4"/>
      <c r="AU20" s="4"/>
      <c r="AV20" s="4"/>
      <c r="AW20" s="58"/>
      <c r="AX20" s="59"/>
      <c r="AY20" s="60"/>
      <c r="AZ20" s="49" t="s">
        <v>133</v>
      </c>
      <c r="BA20" s="115"/>
      <c r="BB20" s="116"/>
      <c r="BC20" s="117"/>
      <c r="BD20" s="117"/>
      <c r="BE20" s="117"/>
      <c r="BF20" s="117"/>
      <c r="BG20" s="118"/>
      <c r="BH20" s="49" t="s">
        <v>133</v>
      </c>
      <c r="BI20" s="115"/>
      <c r="BJ20" s="116"/>
      <c r="BK20" s="117"/>
      <c r="BL20" s="117"/>
      <c r="BM20" s="117"/>
      <c r="BN20" s="117"/>
      <c r="BO20" s="118"/>
      <c r="BP20" s="49" t="s">
        <v>133</v>
      </c>
      <c r="BQ20" s="115"/>
      <c r="BR20" s="116"/>
      <c r="BS20" s="117"/>
      <c r="BT20" s="117"/>
      <c r="BU20" s="117"/>
      <c r="BV20" s="117"/>
      <c r="BW20" s="118"/>
    </row>
    <row r="21" spans="1:75" ht="16.5" customHeight="1">
      <c r="A21" s="314" t="s">
        <v>133</v>
      </c>
      <c r="B21" s="30">
        <v>15</v>
      </c>
      <c r="C21" s="75">
        <v>42783</v>
      </c>
      <c r="D21" s="55" t="s">
        <v>134</v>
      </c>
      <c r="E21" s="76" t="s">
        <v>38</v>
      </c>
      <c r="F21" s="34">
        <v>0.64583333333333304</v>
      </c>
      <c r="G21" s="87">
        <v>140</v>
      </c>
      <c r="H21" s="88"/>
      <c r="I21" s="314" t="s">
        <v>133</v>
      </c>
      <c r="J21" s="37"/>
      <c r="K21" s="4"/>
      <c r="L21" s="4"/>
      <c r="M21" s="4"/>
      <c r="N21" s="4"/>
      <c r="O21" s="4"/>
      <c r="P21" s="68"/>
      <c r="Q21" s="4"/>
      <c r="R21" s="314" t="s">
        <v>133</v>
      </c>
      <c r="S21" s="44">
        <v>13</v>
      </c>
      <c r="T21" s="75" t="s">
        <v>135</v>
      </c>
      <c r="U21" s="39" t="s">
        <v>26</v>
      </c>
      <c r="V21" s="55" t="s">
        <v>134</v>
      </c>
      <c r="W21" s="119" t="s">
        <v>38</v>
      </c>
      <c r="X21" s="120">
        <v>0.64583333333333304</v>
      </c>
      <c r="Y21" s="79"/>
      <c r="Z21" s="59"/>
      <c r="AA21" s="314" t="s">
        <v>133</v>
      </c>
      <c r="AB21" s="121"/>
      <c r="AC21" s="317" t="s">
        <v>136</v>
      </c>
      <c r="AD21" s="318"/>
      <c r="AE21" s="318"/>
      <c r="AF21" s="318"/>
      <c r="AG21" s="318"/>
      <c r="AH21" s="319"/>
      <c r="AJ21" s="314" t="s">
        <v>133</v>
      </c>
      <c r="AK21" s="121"/>
      <c r="AL21" s="317"/>
      <c r="AM21" s="318"/>
      <c r="AN21" s="318"/>
      <c r="AO21" s="318"/>
      <c r="AP21" s="318"/>
      <c r="AQ21" s="319"/>
      <c r="AR21" s="314" t="s">
        <v>133</v>
      </c>
      <c r="AS21" s="121"/>
      <c r="AT21" s="317"/>
      <c r="AU21" s="318"/>
      <c r="AV21" s="318"/>
      <c r="AW21" s="318"/>
      <c r="AX21" s="318"/>
      <c r="AY21" s="319"/>
      <c r="AZ21" s="4" t="s">
        <v>137</v>
      </c>
      <c r="BA21" s="112">
        <v>13</v>
      </c>
      <c r="BB21" s="40" t="s">
        <v>138</v>
      </c>
      <c r="BC21" s="51" t="s">
        <v>26</v>
      </c>
      <c r="BD21" s="40" t="s">
        <v>139</v>
      </c>
      <c r="BE21" s="45" t="s">
        <v>38</v>
      </c>
      <c r="BF21" s="120">
        <v>0.64583333333333304</v>
      </c>
      <c r="BG21" s="81"/>
      <c r="BH21" s="4" t="s">
        <v>137</v>
      </c>
      <c r="BI21" s="112">
        <v>11</v>
      </c>
      <c r="BJ21" s="40" t="s">
        <v>140</v>
      </c>
      <c r="BK21" s="51" t="s">
        <v>26</v>
      </c>
      <c r="BL21" s="40" t="s">
        <v>139</v>
      </c>
      <c r="BM21" s="45" t="s">
        <v>49</v>
      </c>
      <c r="BN21" s="120">
        <v>0.64583333333333304</v>
      </c>
      <c r="BO21" s="81">
        <v>190</v>
      </c>
      <c r="BP21" s="4" t="s">
        <v>137</v>
      </c>
      <c r="BQ21" s="112">
        <v>11</v>
      </c>
      <c r="BR21" s="40" t="s">
        <v>424</v>
      </c>
      <c r="BS21" s="51" t="s">
        <v>26</v>
      </c>
      <c r="BT21" s="40" t="s">
        <v>139</v>
      </c>
      <c r="BU21" s="45" t="s">
        <v>414</v>
      </c>
      <c r="BV21" s="120">
        <v>0.64583333333333304</v>
      </c>
      <c r="BW21" s="81" t="s">
        <v>430</v>
      </c>
    </row>
    <row r="22" spans="1:75" ht="16.5" customHeight="1">
      <c r="A22" s="315"/>
      <c r="B22" s="67"/>
      <c r="C22" s="4"/>
      <c r="D22" s="4"/>
      <c r="E22" s="4"/>
      <c r="F22" s="4"/>
      <c r="G22" s="68"/>
      <c r="H22" s="4"/>
      <c r="I22" s="315"/>
      <c r="J22" s="37"/>
      <c r="K22" s="4"/>
      <c r="L22" s="4"/>
      <c r="M22" s="4"/>
      <c r="N22" s="4"/>
      <c r="O22" s="4"/>
      <c r="P22" s="68"/>
      <c r="Q22" s="4"/>
      <c r="R22" s="315"/>
      <c r="S22" s="57"/>
      <c r="T22" s="4"/>
      <c r="U22" s="4"/>
      <c r="V22" s="4"/>
      <c r="W22" s="58"/>
      <c r="X22" s="59"/>
      <c r="Y22" s="60"/>
      <c r="Z22" s="59"/>
      <c r="AA22" s="315"/>
      <c r="AB22" s="121"/>
      <c r="AC22" s="122"/>
      <c r="AD22" s="123"/>
      <c r="AE22" s="123"/>
      <c r="AF22" s="124"/>
      <c r="AG22" s="125"/>
      <c r="AH22" s="126"/>
      <c r="AI22" s="59"/>
      <c r="AJ22" s="315"/>
      <c r="AK22" s="121"/>
      <c r="AL22" s="122"/>
      <c r="AM22" s="123"/>
      <c r="AN22" s="123"/>
      <c r="AO22" s="124"/>
      <c r="AP22" s="125"/>
      <c r="AQ22" s="126"/>
      <c r="AR22" s="315"/>
      <c r="AS22" s="121"/>
      <c r="AT22" s="122"/>
      <c r="AU22" s="123"/>
      <c r="AV22" s="123"/>
      <c r="AW22" s="124"/>
      <c r="AX22" s="125"/>
      <c r="AY22" s="126"/>
      <c r="AZ22" s="4"/>
      <c r="BA22" s="112">
        <v>14</v>
      </c>
      <c r="BB22" s="108" t="s">
        <v>141</v>
      </c>
      <c r="BC22" s="51" t="s">
        <v>26</v>
      </c>
      <c r="BD22" s="40" t="s">
        <v>114</v>
      </c>
      <c r="BE22" s="45" t="s">
        <v>38</v>
      </c>
      <c r="BF22" s="41">
        <v>0.64583333333333304</v>
      </c>
      <c r="BG22" s="81"/>
      <c r="BH22" s="4"/>
      <c r="BI22" s="112">
        <v>12</v>
      </c>
      <c r="BJ22" s="108" t="s">
        <v>142</v>
      </c>
      <c r="BK22" s="51" t="s">
        <v>26</v>
      </c>
      <c r="BL22" s="40" t="s">
        <v>114</v>
      </c>
      <c r="BM22" s="45" t="s">
        <v>19</v>
      </c>
      <c r="BN22" s="41">
        <v>0.64583333333333304</v>
      </c>
      <c r="BO22" s="81">
        <v>257</v>
      </c>
      <c r="BP22" s="4"/>
      <c r="BQ22" s="112">
        <v>12</v>
      </c>
      <c r="BR22" s="108" t="s">
        <v>425</v>
      </c>
      <c r="BS22" s="51" t="s">
        <v>26</v>
      </c>
      <c r="BT22" s="40" t="s">
        <v>114</v>
      </c>
      <c r="BU22" s="45" t="s">
        <v>414</v>
      </c>
      <c r="BV22" s="41">
        <v>0.64583333333333304</v>
      </c>
      <c r="BW22" s="81" t="s">
        <v>430</v>
      </c>
    </row>
    <row r="23" spans="1:75" ht="16.5" customHeight="1">
      <c r="A23" s="316"/>
      <c r="B23" s="67"/>
      <c r="C23" s="4"/>
      <c r="D23" s="4"/>
      <c r="E23" s="4"/>
      <c r="F23" s="4"/>
      <c r="G23" s="68"/>
      <c r="H23" s="4"/>
      <c r="I23" s="316"/>
      <c r="J23" s="37"/>
      <c r="K23" s="4"/>
      <c r="L23" s="4"/>
      <c r="M23" s="4"/>
      <c r="N23" s="4"/>
      <c r="O23" s="4"/>
      <c r="P23" s="68"/>
      <c r="Q23" s="4"/>
      <c r="R23" s="316"/>
      <c r="S23" s="57"/>
      <c r="T23" s="4"/>
      <c r="U23" s="4"/>
      <c r="V23" s="4"/>
      <c r="W23" s="58"/>
      <c r="X23" s="59"/>
      <c r="Y23" s="60"/>
      <c r="Z23" s="59"/>
      <c r="AA23" s="316"/>
      <c r="AB23" s="121"/>
      <c r="AC23" s="127"/>
      <c r="AD23" s="128"/>
      <c r="AE23" s="128"/>
      <c r="AF23" s="129"/>
      <c r="AG23" s="130"/>
      <c r="AH23" s="131"/>
      <c r="AI23" s="59"/>
      <c r="AJ23" s="316"/>
      <c r="AK23" s="121"/>
      <c r="AL23" s="127"/>
      <c r="AM23" s="128"/>
      <c r="AN23" s="128"/>
      <c r="AO23" s="129"/>
      <c r="AP23" s="130"/>
      <c r="AQ23" s="131"/>
      <c r="AR23" s="316"/>
      <c r="AS23" s="121"/>
      <c r="AT23" s="127"/>
      <c r="AU23" s="128"/>
      <c r="AV23" s="128"/>
      <c r="AW23" s="129"/>
      <c r="AX23" s="130"/>
      <c r="AY23" s="131"/>
      <c r="AZ23" s="4"/>
      <c r="BA23" s="132"/>
      <c r="BB23" s="4"/>
      <c r="BC23" s="4"/>
      <c r="BD23" s="4"/>
      <c r="BE23" s="58"/>
      <c r="BF23" s="59"/>
      <c r="BG23" s="85"/>
      <c r="BH23" s="4"/>
      <c r="BI23" s="132"/>
      <c r="BJ23" s="133">
        <v>46121</v>
      </c>
      <c r="BK23" s="4"/>
      <c r="BL23" s="4" t="s">
        <v>143</v>
      </c>
      <c r="BM23" s="58"/>
      <c r="BN23" s="59"/>
      <c r="BO23" s="85">
        <v>49</v>
      </c>
      <c r="BP23" s="4"/>
      <c r="BQ23" s="132"/>
      <c r="BR23" s="133"/>
      <c r="BS23" s="4"/>
      <c r="BT23" s="4" t="s">
        <v>143</v>
      </c>
      <c r="BU23" s="58"/>
      <c r="BV23" s="59"/>
      <c r="BW23" s="85" t="s">
        <v>430</v>
      </c>
    </row>
    <row r="24" spans="1:75" ht="16.5" customHeight="1">
      <c r="A24" s="312" t="s">
        <v>137</v>
      </c>
      <c r="B24" s="30">
        <v>16</v>
      </c>
      <c r="C24" s="75">
        <v>42795</v>
      </c>
      <c r="D24" s="55" t="s">
        <v>144</v>
      </c>
      <c r="E24" s="76" t="s">
        <v>38</v>
      </c>
      <c r="F24" s="34">
        <v>0.64583333333333304</v>
      </c>
      <c r="G24" s="87">
        <v>221</v>
      </c>
      <c r="H24" s="88"/>
      <c r="I24" s="312" t="s">
        <v>137</v>
      </c>
      <c r="J24" s="104" t="s">
        <v>145</v>
      </c>
      <c r="K24" s="108" t="s">
        <v>146</v>
      </c>
      <c r="L24" s="39" t="s">
        <v>26</v>
      </c>
      <c r="M24" s="40" t="s">
        <v>144</v>
      </c>
      <c r="N24" s="40" t="s">
        <v>38</v>
      </c>
      <c r="O24" s="41">
        <v>0.64583333333333304</v>
      </c>
      <c r="P24" s="42">
        <v>256</v>
      </c>
      <c r="Q24" s="43"/>
      <c r="R24" s="312" t="s">
        <v>137</v>
      </c>
      <c r="S24" s="78">
        <v>14</v>
      </c>
      <c r="T24" s="40" t="s">
        <v>147</v>
      </c>
      <c r="U24" s="39" t="s">
        <v>26</v>
      </c>
      <c r="V24" s="55" t="s">
        <v>126</v>
      </c>
      <c r="W24" s="76" t="s">
        <v>38</v>
      </c>
      <c r="X24" s="120">
        <v>0.64583333333333304</v>
      </c>
      <c r="Y24" s="79"/>
      <c r="Z24" s="59"/>
      <c r="AA24" s="312" t="s">
        <v>137</v>
      </c>
      <c r="AB24" s="78">
        <v>13</v>
      </c>
      <c r="AC24" s="40" t="s">
        <v>148</v>
      </c>
      <c r="AD24" s="39" t="s">
        <v>26</v>
      </c>
      <c r="AE24" s="55" t="s">
        <v>126</v>
      </c>
      <c r="AF24" s="76" t="s">
        <v>38</v>
      </c>
      <c r="AG24" s="120">
        <v>0.64583333333333304</v>
      </c>
      <c r="AH24" s="79"/>
      <c r="AI24" s="59"/>
      <c r="AJ24" s="312" t="s">
        <v>137</v>
      </c>
      <c r="AK24" s="78">
        <v>12</v>
      </c>
      <c r="AL24" s="40" t="s">
        <v>149</v>
      </c>
      <c r="AM24" s="39" t="s">
        <v>26</v>
      </c>
      <c r="AN24" s="55" t="s">
        <v>126</v>
      </c>
      <c r="AO24" s="76" t="s">
        <v>38</v>
      </c>
      <c r="AP24" s="120">
        <v>0.64583333333333304</v>
      </c>
      <c r="AQ24" s="79"/>
      <c r="AR24" s="312" t="s">
        <v>137</v>
      </c>
      <c r="AS24" s="78">
        <v>12</v>
      </c>
      <c r="AT24" s="40" t="s">
        <v>150</v>
      </c>
      <c r="AU24" s="39" t="s">
        <v>26</v>
      </c>
      <c r="AV24" s="55" t="s">
        <v>126</v>
      </c>
      <c r="AW24" s="76" t="s">
        <v>19</v>
      </c>
      <c r="AX24" s="120">
        <v>0.64583333333333304</v>
      </c>
      <c r="AY24" s="79"/>
      <c r="AZ24" s="49" t="s">
        <v>151</v>
      </c>
      <c r="BA24" s="50">
        <v>15</v>
      </c>
      <c r="BB24" s="108" t="s">
        <v>152</v>
      </c>
      <c r="BC24" s="51" t="s">
        <v>26</v>
      </c>
      <c r="BD24" s="55" t="s">
        <v>126</v>
      </c>
      <c r="BE24" s="45" t="s">
        <v>38</v>
      </c>
      <c r="BF24" s="41">
        <v>0.64583333333333304</v>
      </c>
      <c r="BG24" s="81"/>
      <c r="BH24" s="49" t="s">
        <v>151</v>
      </c>
      <c r="BI24" s="50">
        <v>13</v>
      </c>
      <c r="BJ24" s="108">
        <v>46093</v>
      </c>
      <c r="BK24" s="51" t="s">
        <v>26</v>
      </c>
      <c r="BL24" s="55" t="s">
        <v>126</v>
      </c>
      <c r="BM24" s="45" t="s">
        <v>49</v>
      </c>
      <c r="BN24" s="41">
        <v>0.64583333333333304</v>
      </c>
      <c r="BO24" s="81">
        <v>280</v>
      </c>
      <c r="BP24" s="49" t="s">
        <v>151</v>
      </c>
      <c r="BQ24" s="50">
        <v>13</v>
      </c>
      <c r="BR24" s="108" t="s">
        <v>426</v>
      </c>
      <c r="BS24" s="51" t="s">
        <v>26</v>
      </c>
      <c r="BT24" s="55" t="s">
        <v>126</v>
      </c>
      <c r="BU24" s="45" t="s">
        <v>414</v>
      </c>
      <c r="BV24" s="41">
        <v>0.64583333333333304</v>
      </c>
      <c r="BW24" s="81" t="s">
        <v>430</v>
      </c>
    </row>
    <row r="25" spans="1:75" ht="16.5" customHeight="1">
      <c r="A25" s="313"/>
      <c r="B25" s="30">
        <v>17</v>
      </c>
      <c r="C25" s="75">
        <v>42809</v>
      </c>
      <c r="D25" s="32" t="s">
        <v>44</v>
      </c>
      <c r="E25" s="33" t="s">
        <v>38</v>
      </c>
      <c r="F25" s="134">
        <v>0.64583333333333304</v>
      </c>
      <c r="G25" s="135">
        <v>201</v>
      </c>
      <c r="H25" s="88"/>
      <c r="I25" s="313"/>
      <c r="J25" s="104" t="s">
        <v>153</v>
      </c>
      <c r="K25" s="108" t="s">
        <v>154</v>
      </c>
      <c r="L25" s="39" t="s">
        <v>26</v>
      </c>
      <c r="M25" s="40" t="s">
        <v>44</v>
      </c>
      <c r="N25" s="40" t="s">
        <v>38</v>
      </c>
      <c r="O25" s="41">
        <v>0.64583333333333304</v>
      </c>
      <c r="P25" s="42">
        <v>240</v>
      </c>
      <c r="Q25" s="43"/>
      <c r="R25" s="313"/>
      <c r="S25" s="78">
        <v>15</v>
      </c>
      <c r="T25" s="108" t="s">
        <v>141</v>
      </c>
      <c r="U25" s="39" t="s">
        <v>26</v>
      </c>
      <c r="V25" s="40" t="s">
        <v>144</v>
      </c>
      <c r="W25" s="76" t="s">
        <v>38</v>
      </c>
      <c r="X25" s="41">
        <v>0.64583333333333304</v>
      </c>
      <c r="Y25" s="79"/>
      <c r="Z25" s="59"/>
      <c r="AA25" s="313"/>
      <c r="AB25" s="78">
        <v>14</v>
      </c>
      <c r="AC25" s="108" t="s">
        <v>155</v>
      </c>
      <c r="AD25" s="39" t="s">
        <v>26</v>
      </c>
      <c r="AE25" s="40" t="s">
        <v>144</v>
      </c>
      <c r="AF25" s="76" t="s">
        <v>38</v>
      </c>
      <c r="AG25" s="41">
        <v>0.64583333333333304</v>
      </c>
      <c r="AH25" s="79"/>
      <c r="AI25" s="59"/>
      <c r="AJ25" s="313"/>
      <c r="AK25" s="78">
        <v>13</v>
      </c>
      <c r="AL25" s="108" t="s">
        <v>156</v>
      </c>
      <c r="AM25" s="39" t="s">
        <v>26</v>
      </c>
      <c r="AN25" s="40" t="s">
        <v>144</v>
      </c>
      <c r="AO25" s="76" t="s">
        <v>38</v>
      </c>
      <c r="AP25" s="41">
        <v>0.64583333333333304</v>
      </c>
      <c r="AQ25" s="79"/>
      <c r="AR25" s="313"/>
      <c r="AS25" s="78">
        <v>13</v>
      </c>
      <c r="AT25" s="108" t="s">
        <v>157</v>
      </c>
      <c r="AU25" s="39" t="s">
        <v>26</v>
      </c>
      <c r="AV25" s="40" t="s">
        <v>144</v>
      </c>
      <c r="AW25" s="76" t="s">
        <v>19</v>
      </c>
      <c r="AX25" s="41">
        <v>0.64583333333333304</v>
      </c>
      <c r="AY25" s="79"/>
      <c r="AZ25" s="49"/>
      <c r="BA25" s="50">
        <v>16</v>
      </c>
      <c r="BB25" s="108" t="s">
        <v>158</v>
      </c>
      <c r="BC25" s="51" t="s">
        <v>26</v>
      </c>
      <c r="BD25" s="40" t="s">
        <v>144</v>
      </c>
      <c r="BE25" s="45" t="s">
        <v>38</v>
      </c>
      <c r="BF25" s="41">
        <v>0.64583333333333304</v>
      </c>
      <c r="BG25" s="81"/>
      <c r="BH25" s="49"/>
      <c r="BI25" s="50">
        <v>14</v>
      </c>
      <c r="BJ25" s="108" t="s">
        <v>159</v>
      </c>
      <c r="BK25" s="51" t="s">
        <v>26</v>
      </c>
      <c r="BL25" s="40" t="s">
        <v>144</v>
      </c>
      <c r="BM25" s="45" t="s">
        <v>19</v>
      </c>
      <c r="BN25" s="41">
        <v>0.64583333333333304</v>
      </c>
      <c r="BO25" s="81">
        <v>53</v>
      </c>
      <c r="BP25" s="49"/>
      <c r="BQ25" s="50">
        <v>14</v>
      </c>
      <c r="BR25" s="108" t="s">
        <v>427</v>
      </c>
      <c r="BS25" s="51" t="s">
        <v>26</v>
      </c>
      <c r="BT25" s="40" t="s">
        <v>144</v>
      </c>
      <c r="BU25" s="45" t="s">
        <v>414</v>
      </c>
      <c r="BV25" s="41">
        <v>0.64583333333333304</v>
      </c>
      <c r="BW25" s="81" t="s">
        <v>430</v>
      </c>
    </row>
    <row r="26" spans="1:75" ht="16.5" customHeight="1">
      <c r="A26" s="313"/>
      <c r="B26" s="67"/>
      <c r="C26" s="4"/>
      <c r="D26" s="4"/>
      <c r="E26" s="4"/>
      <c r="F26" s="4"/>
      <c r="G26" s="68"/>
      <c r="H26" s="4"/>
      <c r="I26" s="313"/>
      <c r="J26" s="9"/>
      <c r="K26" s="4"/>
      <c r="L26" s="4"/>
      <c r="M26" s="4"/>
      <c r="N26" s="4"/>
      <c r="O26" s="4"/>
      <c r="P26" s="68"/>
      <c r="Q26" s="4"/>
      <c r="R26" s="313"/>
      <c r="S26" s="67"/>
      <c r="T26" s="4"/>
      <c r="U26" s="4"/>
      <c r="V26" s="4"/>
      <c r="W26" s="58"/>
      <c r="X26" s="59"/>
      <c r="Y26" s="60"/>
      <c r="Z26" s="59"/>
      <c r="AA26" s="313"/>
      <c r="AB26" s="67"/>
      <c r="AC26" s="4"/>
      <c r="AD26" s="4"/>
      <c r="AE26" s="4"/>
      <c r="AF26" s="58"/>
      <c r="AG26" s="59"/>
      <c r="AH26" s="60"/>
      <c r="AI26" s="59"/>
      <c r="AJ26" s="313"/>
      <c r="AK26" s="67"/>
      <c r="AL26" s="4"/>
      <c r="AM26" s="4"/>
      <c r="AN26" s="4"/>
      <c r="AO26" s="58"/>
      <c r="AP26" s="59"/>
      <c r="AQ26" s="60"/>
      <c r="AR26" s="313"/>
      <c r="AS26" s="67"/>
      <c r="AT26" s="4"/>
      <c r="AU26" s="4"/>
      <c r="AV26" s="4"/>
      <c r="AW26" s="58"/>
      <c r="AX26" s="59"/>
      <c r="AY26" s="60"/>
      <c r="AZ26" s="49"/>
      <c r="BA26" s="111"/>
      <c r="BB26" s="4"/>
      <c r="BC26" s="4"/>
      <c r="BD26" s="4"/>
      <c r="BE26" s="58"/>
      <c r="BF26" s="59"/>
      <c r="BG26" s="136"/>
      <c r="BH26" s="49"/>
      <c r="BI26" s="111"/>
      <c r="BJ26" s="4"/>
      <c r="BK26" s="4"/>
      <c r="BL26" s="4"/>
      <c r="BM26" s="58"/>
      <c r="BN26" s="59"/>
      <c r="BO26" s="136"/>
      <c r="BP26" s="49"/>
      <c r="BQ26" s="111"/>
      <c r="BR26" s="4"/>
      <c r="BS26" s="4"/>
      <c r="BT26" s="4"/>
      <c r="BU26" s="58"/>
      <c r="BV26" s="59"/>
      <c r="BW26" s="136"/>
    </row>
    <row r="27" spans="1:75" ht="16.5" customHeight="1">
      <c r="A27" s="314" t="s">
        <v>151</v>
      </c>
      <c r="B27" s="30">
        <v>18</v>
      </c>
      <c r="C27" s="86">
        <v>42839</v>
      </c>
      <c r="D27" s="55" t="s">
        <v>160</v>
      </c>
      <c r="E27" s="76" t="s">
        <v>38</v>
      </c>
      <c r="F27" s="34">
        <v>0.64583333333333304</v>
      </c>
      <c r="G27" s="35">
        <v>182</v>
      </c>
      <c r="H27" s="36"/>
      <c r="I27" s="314" t="s">
        <v>151</v>
      </c>
      <c r="J27" s="137" t="s">
        <v>161</v>
      </c>
      <c r="K27" s="108" t="s">
        <v>162</v>
      </c>
      <c r="L27" s="39" t="s">
        <v>26</v>
      </c>
      <c r="M27" s="40" t="s">
        <v>139</v>
      </c>
      <c r="N27" s="40" t="s">
        <v>38</v>
      </c>
      <c r="O27" s="41">
        <v>0.64583333333333304</v>
      </c>
      <c r="P27" s="42">
        <v>188</v>
      </c>
      <c r="Q27" s="43"/>
      <c r="R27" s="314" t="s">
        <v>151</v>
      </c>
      <c r="S27" s="44">
        <v>16</v>
      </c>
      <c r="T27" s="108" t="s">
        <v>163</v>
      </c>
      <c r="U27" s="39" t="s">
        <v>26</v>
      </c>
      <c r="V27" s="40" t="s">
        <v>44</v>
      </c>
      <c r="W27" s="76" t="s">
        <v>38</v>
      </c>
      <c r="X27" s="41">
        <v>0.64583333333333304</v>
      </c>
      <c r="Y27" s="47"/>
      <c r="Z27" s="48"/>
      <c r="AA27" s="314" t="s">
        <v>151</v>
      </c>
      <c r="AB27" s="44">
        <v>15</v>
      </c>
      <c r="AC27" s="108" t="s">
        <v>164</v>
      </c>
      <c r="AD27" s="39" t="s">
        <v>26</v>
      </c>
      <c r="AE27" s="40" t="s">
        <v>52</v>
      </c>
      <c r="AF27" s="76" t="s">
        <v>38</v>
      </c>
      <c r="AG27" s="41">
        <v>0.64583333333333304</v>
      </c>
      <c r="AH27" s="47"/>
      <c r="AI27" s="48"/>
      <c r="AJ27" s="314" t="s">
        <v>151</v>
      </c>
      <c r="AK27" s="44">
        <v>14</v>
      </c>
      <c r="AL27" s="108" t="s">
        <v>165</v>
      </c>
      <c r="AM27" s="39" t="s">
        <v>26</v>
      </c>
      <c r="AN27" s="40" t="s">
        <v>52</v>
      </c>
      <c r="AO27" s="76" t="s">
        <v>38</v>
      </c>
      <c r="AP27" s="41">
        <v>0.64583333333333304</v>
      </c>
      <c r="AQ27" s="47"/>
      <c r="AR27" s="314" t="s">
        <v>151</v>
      </c>
      <c r="AS27" s="44">
        <v>14</v>
      </c>
      <c r="AT27" s="108" t="s">
        <v>166</v>
      </c>
      <c r="AU27" s="39" t="s">
        <v>26</v>
      </c>
      <c r="AV27" s="40" t="s">
        <v>52</v>
      </c>
      <c r="AW27" s="76" t="s">
        <v>19</v>
      </c>
      <c r="AX27" s="41">
        <v>0.64583333333333304</v>
      </c>
      <c r="AY27" s="47"/>
      <c r="AZ27" s="4" t="s">
        <v>167</v>
      </c>
      <c r="BA27" s="112">
        <v>17</v>
      </c>
      <c r="BB27" s="108" t="s">
        <v>168</v>
      </c>
      <c r="BC27" s="51" t="s">
        <v>26</v>
      </c>
      <c r="BD27" s="40" t="s">
        <v>169</v>
      </c>
      <c r="BE27" s="45" t="s">
        <v>38</v>
      </c>
      <c r="BF27" s="138">
        <v>0.64583333333333304</v>
      </c>
      <c r="BG27" s="136"/>
      <c r="BH27" s="4" t="s">
        <v>167</v>
      </c>
      <c r="BI27" s="112">
        <v>15</v>
      </c>
      <c r="BJ27" s="108">
        <v>46100</v>
      </c>
      <c r="BK27" s="51" t="s">
        <v>26</v>
      </c>
      <c r="BL27" s="40" t="s">
        <v>169</v>
      </c>
      <c r="BM27" s="45" t="s">
        <v>49</v>
      </c>
      <c r="BN27" s="138"/>
      <c r="BO27" s="136">
        <v>67</v>
      </c>
      <c r="BP27" s="4" t="s">
        <v>167</v>
      </c>
      <c r="BQ27" s="112">
        <v>15</v>
      </c>
      <c r="BR27" s="108" t="s">
        <v>428</v>
      </c>
      <c r="BS27" s="51" t="s">
        <v>26</v>
      </c>
      <c r="BT27" s="40" t="s">
        <v>169</v>
      </c>
      <c r="BU27" s="45" t="s">
        <v>38</v>
      </c>
      <c r="BV27" s="138"/>
      <c r="BW27" s="136" t="s">
        <v>430</v>
      </c>
    </row>
    <row r="28" spans="1:75" ht="16.5" customHeight="1">
      <c r="A28" s="315"/>
      <c r="B28" s="30">
        <v>19</v>
      </c>
      <c r="C28" s="75">
        <v>42844</v>
      </c>
      <c r="D28" s="55" t="s">
        <v>170</v>
      </c>
      <c r="E28" s="76" t="s">
        <v>38</v>
      </c>
      <c r="F28" s="34">
        <v>0.28472222222222199</v>
      </c>
      <c r="G28" s="87">
        <v>103</v>
      </c>
      <c r="H28" s="88"/>
      <c r="I28" s="315"/>
      <c r="J28" s="137" t="s">
        <v>171</v>
      </c>
      <c r="K28" s="108" t="s">
        <v>172</v>
      </c>
      <c r="L28" s="39" t="s">
        <v>26</v>
      </c>
      <c r="M28" s="40" t="s">
        <v>173</v>
      </c>
      <c r="N28" s="40" t="s">
        <v>38</v>
      </c>
      <c r="O28" s="41">
        <v>0.27083333333333298</v>
      </c>
      <c r="P28" s="42">
        <v>120</v>
      </c>
      <c r="Q28" s="43"/>
      <c r="R28" s="315"/>
      <c r="S28" s="44">
        <v>17</v>
      </c>
      <c r="T28" s="108" t="s">
        <v>152</v>
      </c>
      <c r="U28" s="39" t="s">
        <v>26</v>
      </c>
      <c r="V28" s="40" t="s">
        <v>139</v>
      </c>
      <c r="W28" s="76" t="s">
        <v>38</v>
      </c>
      <c r="X28" s="41">
        <v>0.64583333333333304</v>
      </c>
      <c r="Y28" s="79"/>
      <c r="Z28" s="59"/>
      <c r="AA28" s="315"/>
      <c r="AB28" s="44">
        <v>16</v>
      </c>
      <c r="AC28" s="108" t="s">
        <v>174</v>
      </c>
      <c r="AD28" s="39" t="s">
        <v>26</v>
      </c>
      <c r="AE28" s="40" t="s">
        <v>139</v>
      </c>
      <c r="AF28" s="76" t="s">
        <v>38</v>
      </c>
      <c r="AG28" s="41">
        <v>0.64583333333333304</v>
      </c>
      <c r="AH28" s="79"/>
      <c r="AI28" s="59"/>
      <c r="AJ28" s="315"/>
      <c r="AK28" s="44">
        <v>15</v>
      </c>
      <c r="AL28" s="108" t="s">
        <v>175</v>
      </c>
      <c r="AM28" s="39" t="s">
        <v>26</v>
      </c>
      <c r="AN28" s="40" t="s">
        <v>139</v>
      </c>
      <c r="AO28" s="76" t="s">
        <v>38</v>
      </c>
      <c r="AP28" s="41">
        <v>0.64583333333333304</v>
      </c>
      <c r="AQ28" s="79"/>
      <c r="AR28" s="315"/>
      <c r="AS28" s="44">
        <v>15</v>
      </c>
      <c r="AT28" s="108" t="s">
        <v>176</v>
      </c>
      <c r="AU28" s="39" t="s">
        <v>26</v>
      </c>
      <c r="AV28" s="40" t="s">
        <v>139</v>
      </c>
      <c r="AW28" s="76" t="s">
        <v>19</v>
      </c>
      <c r="AX28" s="41">
        <v>0.64583333333333304</v>
      </c>
      <c r="AY28" s="79"/>
      <c r="AZ28" s="4"/>
      <c r="BA28" s="112">
        <v>18</v>
      </c>
      <c r="BB28" s="108" t="s">
        <v>177</v>
      </c>
      <c r="BC28" s="51" t="s">
        <v>26</v>
      </c>
      <c r="BD28" s="40" t="s">
        <v>18</v>
      </c>
      <c r="BE28" s="45" t="s">
        <v>38</v>
      </c>
      <c r="BF28" s="138">
        <v>0.64583333333333304</v>
      </c>
      <c r="BG28" s="81"/>
      <c r="BH28" s="4"/>
      <c r="BI28" s="112">
        <v>16</v>
      </c>
      <c r="BJ28" s="108" t="s">
        <v>178</v>
      </c>
      <c r="BK28" s="51" t="s">
        <v>26</v>
      </c>
      <c r="BL28" s="40" t="s">
        <v>18</v>
      </c>
      <c r="BM28" s="45" t="s">
        <v>19</v>
      </c>
      <c r="BN28" s="138">
        <v>0.64583333333333304</v>
      </c>
      <c r="BO28" s="81">
        <v>96</v>
      </c>
      <c r="BP28" s="4"/>
      <c r="BQ28" s="112">
        <v>16</v>
      </c>
      <c r="BR28" s="108" t="s">
        <v>429</v>
      </c>
      <c r="BS28" s="51" t="s">
        <v>26</v>
      </c>
      <c r="BT28" s="40" t="s">
        <v>18</v>
      </c>
      <c r="BU28" s="45" t="s">
        <v>38</v>
      </c>
      <c r="BV28" s="138">
        <v>0.64583333333333304</v>
      </c>
      <c r="BW28" s="81" t="s">
        <v>430</v>
      </c>
    </row>
    <row r="29" spans="1:75" ht="16.5" customHeight="1">
      <c r="A29" s="316"/>
      <c r="B29" s="67"/>
      <c r="C29" s="4"/>
      <c r="D29" s="4"/>
      <c r="E29" s="4"/>
      <c r="F29" s="4"/>
      <c r="G29" s="68"/>
      <c r="H29" s="4"/>
      <c r="I29" s="316"/>
      <c r="J29" s="139"/>
      <c r="K29" s="4"/>
      <c r="L29" s="4"/>
      <c r="M29" s="4"/>
      <c r="N29" s="4"/>
      <c r="O29" s="4"/>
      <c r="P29" s="68"/>
      <c r="Q29" s="4"/>
      <c r="R29" s="316"/>
      <c r="S29" s="57"/>
      <c r="T29" s="4"/>
      <c r="U29" s="4"/>
      <c r="V29" s="4"/>
      <c r="W29" s="58"/>
      <c r="X29" s="59"/>
      <c r="Y29" s="60"/>
      <c r="Z29" s="59"/>
      <c r="AA29" s="316"/>
      <c r="AB29" s="57"/>
      <c r="AC29" s="4"/>
      <c r="AD29" s="4"/>
      <c r="AE29" s="4"/>
      <c r="AF29" s="58"/>
      <c r="AG29" s="59"/>
      <c r="AH29" s="60"/>
      <c r="AI29" s="59"/>
      <c r="AJ29" s="316"/>
      <c r="AK29" s="57"/>
      <c r="AL29" s="4"/>
      <c r="AM29" s="4"/>
      <c r="AN29" s="4"/>
      <c r="AO29" s="58"/>
      <c r="AP29" s="59"/>
      <c r="AQ29" s="60"/>
      <c r="AR29" s="316"/>
      <c r="AS29" s="57"/>
      <c r="AT29" s="4"/>
      <c r="AU29" s="4"/>
      <c r="AV29" s="4"/>
      <c r="AW29" s="58"/>
      <c r="AX29" s="59"/>
      <c r="AY29" s="60"/>
      <c r="AZ29" s="4"/>
      <c r="BA29" s="140"/>
      <c r="BB29" s="141"/>
      <c r="BC29" s="142"/>
      <c r="BD29" s="4"/>
      <c r="BE29" s="58"/>
      <c r="BF29" s="4"/>
      <c r="BG29" s="143"/>
      <c r="BH29" s="4"/>
      <c r="BI29" s="140"/>
      <c r="BJ29" s="141">
        <v>46009</v>
      </c>
      <c r="BK29" s="142"/>
      <c r="BL29" s="4" t="s">
        <v>179</v>
      </c>
      <c r="BM29" s="58"/>
      <c r="BN29" s="4"/>
      <c r="BO29" s="143">
        <v>84</v>
      </c>
      <c r="BP29" s="4"/>
      <c r="BQ29" s="140"/>
      <c r="BR29" s="141" t="s">
        <v>431</v>
      </c>
      <c r="BS29" s="142"/>
      <c r="BT29" s="4" t="s">
        <v>179</v>
      </c>
      <c r="BU29" s="58"/>
      <c r="BV29" s="4"/>
      <c r="BW29" s="143" t="s">
        <v>430</v>
      </c>
    </row>
    <row r="30" spans="1:75" ht="16.5" customHeight="1">
      <c r="A30" s="312" t="s">
        <v>167</v>
      </c>
      <c r="B30" s="30">
        <v>20</v>
      </c>
      <c r="C30" s="75">
        <v>42858</v>
      </c>
      <c r="D30" s="55" t="s">
        <v>31</v>
      </c>
      <c r="E30" s="76" t="s">
        <v>38</v>
      </c>
      <c r="F30" s="34">
        <v>0.28472222222222199</v>
      </c>
      <c r="G30" s="87">
        <v>89</v>
      </c>
      <c r="H30" s="88"/>
      <c r="I30" s="312" t="s">
        <v>167</v>
      </c>
      <c r="J30" s="144" t="s">
        <v>180</v>
      </c>
      <c r="K30" s="108" t="s">
        <v>181</v>
      </c>
      <c r="L30" s="39" t="s">
        <v>26</v>
      </c>
      <c r="M30" s="40" t="s">
        <v>169</v>
      </c>
      <c r="N30" s="40" t="s">
        <v>38</v>
      </c>
      <c r="O30" s="41">
        <v>0.64583333333333304</v>
      </c>
      <c r="P30" s="42">
        <v>160</v>
      </c>
      <c r="Q30" s="43"/>
      <c r="R30" s="312" t="s">
        <v>167</v>
      </c>
      <c r="S30" s="78">
        <v>18</v>
      </c>
      <c r="T30" s="108" t="s">
        <v>168</v>
      </c>
      <c r="U30" s="39" t="s">
        <v>26</v>
      </c>
      <c r="V30" s="40" t="s">
        <v>169</v>
      </c>
      <c r="W30" s="40" t="s">
        <v>38</v>
      </c>
      <c r="X30" s="41">
        <v>0.64583333333333304</v>
      </c>
      <c r="Y30" s="47"/>
      <c r="Z30" s="48"/>
      <c r="AA30" s="320" t="s">
        <v>167</v>
      </c>
      <c r="AB30" s="78">
        <v>17</v>
      </c>
      <c r="AC30" s="108" t="s">
        <v>182</v>
      </c>
      <c r="AD30" s="39" t="s">
        <v>26</v>
      </c>
      <c r="AE30" s="40" t="s">
        <v>169</v>
      </c>
      <c r="AF30" s="76" t="s">
        <v>38</v>
      </c>
      <c r="AG30" s="41">
        <v>0.64583333333333304</v>
      </c>
      <c r="AH30" s="47"/>
      <c r="AI30" s="48"/>
      <c r="AJ30" s="320" t="s">
        <v>167</v>
      </c>
      <c r="AK30" s="78">
        <v>17</v>
      </c>
      <c r="AL30" s="108" t="s">
        <v>183</v>
      </c>
      <c r="AM30" s="39" t="s">
        <v>26</v>
      </c>
      <c r="AN30" s="40" t="s">
        <v>169</v>
      </c>
      <c r="AO30" s="76" t="s">
        <v>38</v>
      </c>
      <c r="AP30" s="41">
        <v>0.64583333333333304</v>
      </c>
      <c r="AQ30" s="47"/>
      <c r="AR30" s="320" t="s">
        <v>167</v>
      </c>
      <c r="AS30" s="78">
        <v>17</v>
      </c>
      <c r="AT30" s="108" t="s">
        <v>184</v>
      </c>
      <c r="AU30" s="39" t="s">
        <v>26</v>
      </c>
      <c r="AV30" s="40" t="s">
        <v>169</v>
      </c>
      <c r="AW30" s="76" t="s">
        <v>19</v>
      </c>
      <c r="AX30" s="41">
        <v>0.64583333333333304</v>
      </c>
      <c r="AY30" s="47"/>
      <c r="AZ30" s="145" t="s">
        <v>185</v>
      </c>
      <c r="BA30" s="146">
        <v>19</v>
      </c>
      <c r="BB30" s="147" t="s">
        <v>186</v>
      </c>
      <c r="BC30" s="51" t="s">
        <v>26</v>
      </c>
      <c r="BD30" s="40" t="s">
        <v>187</v>
      </c>
      <c r="BE30" s="148" t="s">
        <v>188</v>
      </c>
      <c r="BF30" s="46">
        <v>0.44791666666666669</v>
      </c>
      <c r="BG30" s="149"/>
      <c r="BH30" s="145" t="s">
        <v>189</v>
      </c>
      <c r="BI30" s="146">
        <v>17</v>
      </c>
      <c r="BJ30" s="147" t="s">
        <v>186</v>
      </c>
      <c r="BK30" s="51" t="s">
        <v>26</v>
      </c>
      <c r="BL30" s="40" t="s">
        <v>187</v>
      </c>
      <c r="BM30" s="148" t="s">
        <v>188</v>
      </c>
      <c r="BN30" s="46">
        <v>0.44791666666666669</v>
      </c>
      <c r="BO30" s="149"/>
      <c r="BP30" s="145" t="s">
        <v>185</v>
      </c>
      <c r="BQ30" s="146">
        <v>17</v>
      </c>
      <c r="BR30" s="147" t="s">
        <v>186</v>
      </c>
      <c r="BS30" s="51" t="s">
        <v>26</v>
      </c>
      <c r="BT30" s="40" t="s">
        <v>187</v>
      </c>
      <c r="BU30" s="148" t="s">
        <v>188</v>
      </c>
      <c r="BV30" s="46">
        <v>0.44791666666666669</v>
      </c>
      <c r="BW30" s="149"/>
    </row>
    <row r="31" spans="1:75" ht="16.5" customHeight="1">
      <c r="A31" s="313"/>
      <c r="B31" s="30">
        <v>21</v>
      </c>
      <c r="C31" s="75">
        <v>42865</v>
      </c>
      <c r="D31" s="55" t="s">
        <v>190</v>
      </c>
      <c r="E31" s="76" t="s">
        <v>38</v>
      </c>
      <c r="F31" s="34">
        <v>0.70833333333333304</v>
      </c>
      <c r="G31" s="87">
        <v>80</v>
      </c>
      <c r="H31" s="88"/>
      <c r="I31" s="313"/>
      <c r="J31" s="144" t="s">
        <v>191</v>
      </c>
      <c r="K31" s="108" t="s">
        <v>192</v>
      </c>
      <c r="L31" s="39" t="s">
        <v>26</v>
      </c>
      <c r="M31" s="40" t="s">
        <v>193</v>
      </c>
      <c r="N31" s="40" t="s">
        <v>38</v>
      </c>
      <c r="O31" s="41">
        <v>0.64583333333333304</v>
      </c>
      <c r="P31" s="42">
        <v>51</v>
      </c>
      <c r="Q31" s="43"/>
      <c r="R31" s="313"/>
      <c r="S31" s="78">
        <v>19</v>
      </c>
      <c r="T31" s="108" t="s">
        <v>177</v>
      </c>
      <c r="U31" s="39" t="s">
        <v>26</v>
      </c>
      <c r="V31" s="40" t="s">
        <v>193</v>
      </c>
      <c r="W31" s="40" t="s">
        <v>38</v>
      </c>
      <c r="X31" s="41">
        <v>0.64583333333333304</v>
      </c>
      <c r="Y31" s="47"/>
      <c r="Z31" s="48"/>
      <c r="AA31" s="321"/>
      <c r="AB31" s="78">
        <v>18</v>
      </c>
      <c r="AC31" s="108" t="s">
        <v>194</v>
      </c>
      <c r="AD31" s="39" t="s">
        <v>26</v>
      </c>
      <c r="AE31" s="40" t="s">
        <v>193</v>
      </c>
      <c r="AF31" s="76" t="s">
        <v>38</v>
      </c>
      <c r="AG31" s="41">
        <v>0.64583333333333304</v>
      </c>
      <c r="AH31" s="47"/>
      <c r="AI31" s="48"/>
      <c r="AJ31" s="321"/>
      <c r="AK31" s="78">
        <v>18</v>
      </c>
      <c r="AL31" s="108" t="s">
        <v>195</v>
      </c>
      <c r="AM31" s="39" t="s">
        <v>26</v>
      </c>
      <c r="AN31" s="40" t="s">
        <v>193</v>
      </c>
      <c r="AO31" s="76" t="s">
        <v>38</v>
      </c>
      <c r="AP31" s="41">
        <v>0.64583333333333304</v>
      </c>
      <c r="AQ31" s="47"/>
      <c r="AR31" s="321"/>
      <c r="AS31" s="78">
        <v>18</v>
      </c>
      <c r="AT31" s="108" t="s">
        <v>196</v>
      </c>
      <c r="AU31" s="39" t="s">
        <v>26</v>
      </c>
      <c r="AV31" s="40" t="s">
        <v>193</v>
      </c>
      <c r="AW31" s="76" t="s">
        <v>19</v>
      </c>
      <c r="AX31" s="41">
        <v>0.64583333333333304</v>
      </c>
      <c r="AY31" s="47"/>
      <c r="AZ31" s="145"/>
      <c r="BA31" s="146">
        <v>20</v>
      </c>
      <c r="BB31" s="147" t="s">
        <v>186</v>
      </c>
      <c r="BC31" s="51" t="s">
        <v>26</v>
      </c>
      <c r="BD31" s="40" t="s">
        <v>197</v>
      </c>
      <c r="BE31" s="148" t="s">
        <v>188</v>
      </c>
      <c r="BF31" s="46">
        <v>0.44791666666666669</v>
      </c>
      <c r="BG31" s="149"/>
      <c r="BH31" s="145"/>
      <c r="BI31" s="146">
        <v>18</v>
      </c>
      <c r="BJ31" s="147" t="s">
        <v>186</v>
      </c>
      <c r="BK31" s="51" t="s">
        <v>26</v>
      </c>
      <c r="BL31" s="40" t="s">
        <v>197</v>
      </c>
      <c r="BM31" s="148" t="s">
        <v>188</v>
      </c>
      <c r="BN31" s="46">
        <v>0.44791666666666669</v>
      </c>
      <c r="BO31" s="149"/>
      <c r="BP31" s="145"/>
      <c r="BQ31" s="146">
        <v>18</v>
      </c>
      <c r="BR31" s="147" t="s">
        <v>186</v>
      </c>
      <c r="BS31" s="51" t="s">
        <v>26</v>
      </c>
      <c r="BT31" s="40" t="s">
        <v>197</v>
      </c>
      <c r="BU31" s="148" t="s">
        <v>188</v>
      </c>
      <c r="BV31" s="46">
        <v>0.44791666666666669</v>
      </c>
      <c r="BW31" s="149"/>
    </row>
    <row r="32" spans="1:75" ht="16.5" customHeight="1" thickBot="1">
      <c r="A32" s="313"/>
      <c r="B32" s="150">
        <v>22</v>
      </c>
      <c r="C32" s="151">
        <v>42872</v>
      </c>
      <c r="D32" s="152" t="s">
        <v>179</v>
      </c>
      <c r="E32" s="153" t="s">
        <v>38</v>
      </c>
      <c r="F32" s="154">
        <v>0.64583333333333304</v>
      </c>
      <c r="G32" s="155">
        <v>132</v>
      </c>
      <c r="H32" s="88"/>
      <c r="I32" s="313"/>
      <c r="J32" s="156"/>
      <c r="K32" s="157"/>
      <c r="L32" s="157"/>
      <c r="M32" s="157"/>
      <c r="N32" s="157"/>
      <c r="O32" s="157"/>
      <c r="P32" s="158"/>
      <c r="Q32" s="4"/>
      <c r="R32" s="313"/>
      <c r="S32" s="159">
        <v>20</v>
      </c>
      <c r="T32" s="160" t="s">
        <v>198</v>
      </c>
      <c r="U32" s="161" t="s">
        <v>26</v>
      </c>
      <c r="V32" s="162" t="s">
        <v>173</v>
      </c>
      <c r="W32" s="162" t="s">
        <v>38</v>
      </c>
      <c r="X32" s="163">
        <v>0.27083333333333298</v>
      </c>
      <c r="Y32" s="164"/>
      <c r="Z32" s="59"/>
      <c r="AA32" s="321"/>
      <c r="AB32" s="159">
        <v>19</v>
      </c>
      <c r="AC32" s="160" t="s">
        <v>199</v>
      </c>
      <c r="AD32" s="161" t="s">
        <v>26</v>
      </c>
      <c r="AE32" s="162" t="s">
        <v>173</v>
      </c>
      <c r="AF32" s="153" t="s">
        <v>38</v>
      </c>
      <c r="AG32" s="163">
        <v>0.27083333333333298</v>
      </c>
      <c r="AH32" s="164"/>
      <c r="AI32" s="59"/>
      <c r="AJ32" s="321"/>
      <c r="AK32" s="159">
        <v>19</v>
      </c>
      <c r="AL32" s="160" t="s">
        <v>200</v>
      </c>
      <c r="AM32" s="161" t="s">
        <v>26</v>
      </c>
      <c r="AN32" s="162" t="s">
        <v>173</v>
      </c>
      <c r="AO32" s="153" t="s">
        <v>38</v>
      </c>
      <c r="AP32" s="163">
        <v>0.27083333333333298</v>
      </c>
      <c r="AQ32" s="164"/>
      <c r="AR32" s="321"/>
      <c r="AS32" s="159"/>
      <c r="AT32" s="160"/>
      <c r="AU32" s="161"/>
      <c r="AV32" s="162"/>
      <c r="AW32" s="153"/>
      <c r="AX32" s="163"/>
      <c r="AY32" s="164"/>
      <c r="AZ32" s="145"/>
      <c r="BA32" s="165">
        <v>21</v>
      </c>
      <c r="BB32" s="166" t="s">
        <v>186</v>
      </c>
      <c r="BC32" s="167" t="s">
        <v>21</v>
      </c>
      <c r="BD32" s="168" t="s">
        <v>35</v>
      </c>
      <c r="BE32" s="169" t="s">
        <v>188</v>
      </c>
      <c r="BF32" s="170">
        <v>0.4375</v>
      </c>
      <c r="BG32" s="171"/>
      <c r="BH32" s="145"/>
      <c r="BI32" s="165">
        <v>19</v>
      </c>
      <c r="BJ32" s="166" t="s">
        <v>186</v>
      </c>
      <c r="BK32" s="167" t="s">
        <v>21</v>
      </c>
      <c r="BL32" s="168" t="s">
        <v>35</v>
      </c>
      <c r="BM32" s="169" t="s">
        <v>188</v>
      </c>
      <c r="BN32" s="170">
        <v>0.41666666666666669</v>
      </c>
      <c r="BO32" s="171"/>
      <c r="BP32" s="145"/>
      <c r="BQ32" s="165">
        <v>19</v>
      </c>
      <c r="BR32" s="166" t="s">
        <v>186</v>
      </c>
      <c r="BS32" s="167" t="s">
        <v>21</v>
      </c>
      <c r="BT32" s="168" t="s">
        <v>35</v>
      </c>
      <c r="BU32" s="169" t="s">
        <v>188</v>
      </c>
      <c r="BV32" s="170">
        <v>0.41666666666666669</v>
      </c>
      <c r="BW32" s="171"/>
    </row>
    <row r="33" spans="2:75" ht="16.5" customHeight="1" thickTop="1">
      <c r="G33" s="172"/>
      <c r="H33" s="172"/>
      <c r="J33" s="58"/>
      <c r="W33" s="58"/>
      <c r="X33" s="59"/>
      <c r="Y33" s="173"/>
      <c r="Z33" s="173"/>
      <c r="AF33" s="58"/>
      <c r="AG33" s="59"/>
      <c r="AH33" s="173"/>
      <c r="AI33" s="173"/>
      <c r="AO33" s="58"/>
      <c r="AP33" s="59"/>
      <c r="AQ33" s="173"/>
      <c r="AW33" s="58"/>
      <c r="AX33" s="59"/>
      <c r="AY33" s="173"/>
      <c r="AZ33" s="174"/>
      <c r="BA33" s="174"/>
      <c r="BB33" s="174"/>
      <c r="BC33" s="174"/>
      <c r="BD33" s="174"/>
      <c r="BE33" s="58"/>
      <c r="BF33" s="59"/>
      <c r="BG33" s="173"/>
      <c r="BH33" s="174"/>
      <c r="BI33" s="174"/>
      <c r="BJ33" s="174"/>
      <c r="BK33" s="174"/>
      <c r="BL33" s="174"/>
      <c r="BM33" s="58"/>
      <c r="BN33" s="59"/>
      <c r="BO33" s="173"/>
      <c r="BP33" s="174"/>
      <c r="BQ33" s="174"/>
      <c r="BR33" s="174"/>
      <c r="BS33" s="174"/>
      <c r="BT33" s="174"/>
      <c r="BU33" s="58"/>
      <c r="BV33" s="59"/>
      <c r="BW33" s="173"/>
    </row>
    <row r="34" spans="2:75" ht="16.5" customHeight="1">
      <c r="B34" s="308" t="s">
        <v>201</v>
      </c>
      <c r="C34" s="309"/>
      <c r="D34" s="309"/>
      <c r="E34" s="309"/>
      <c r="F34" s="309"/>
      <c r="G34" s="311"/>
      <c r="H34" s="4"/>
      <c r="J34" s="308" t="s">
        <v>202</v>
      </c>
      <c r="K34" s="309"/>
      <c r="L34" s="309"/>
      <c r="M34" s="309"/>
      <c r="N34" s="309"/>
      <c r="O34" s="309"/>
      <c r="P34" s="175"/>
      <c r="Q34" s="4"/>
      <c r="S34" s="308" t="s">
        <v>203</v>
      </c>
      <c r="T34" s="309"/>
      <c r="U34" s="309"/>
      <c r="V34" s="309"/>
      <c r="W34" s="309"/>
      <c r="X34" s="309"/>
      <c r="Y34" s="176"/>
      <c r="Z34" s="59"/>
      <c r="AB34" s="308" t="s">
        <v>204</v>
      </c>
      <c r="AC34" s="309"/>
      <c r="AD34" s="309"/>
      <c r="AE34" s="309"/>
      <c r="AF34" s="309"/>
      <c r="AG34" s="309"/>
      <c r="AH34" s="176"/>
      <c r="AI34" s="59"/>
      <c r="AK34" s="308" t="s">
        <v>205</v>
      </c>
      <c r="AL34" s="309"/>
      <c r="AM34" s="309"/>
      <c r="AN34" s="309"/>
      <c r="AO34" s="309"/>
      <c r="AP34" s="309"/>
      <c r="AQ34" s="176"/>
      <c r="AS34" s="308" t="s">
        <v>206</v>
      </c>
      <c r="AT34" s="309"/>
      <c r="AU34" s="309"/>
      <c r="AV34" s="309"/>
      <c r="AW34" s="309"/>
      <c r="AX34" s="309"/>
      <c r="AY34" s="176"/>
      <c r="AZ34" s="174"/>
      <c r="BA34" s="174"/>
      <c r="BB34" s="174"/>
      <c r="BC34" s="174"/>
      <c r="BD34" s="174"/>
      <c r="BE34" s="58"/>
      <c r="BF34" s="59"/>
      <c r="BG34" s="173"/>
      <c r="BH34" s="174"/>
      <c r="BI34" s="174"/>
      <c r="BJ34" s="174"/>
      <c r="BK34" s="174"/>
      <c r="BL34" s="174"/>
      <c r="BM34" s="58"/>
      <c r="BN34" s="59"/>
      <c r="BO34" s="173"/>
      <c r="BP34" s="174"/>
      <c r="BQ34" s="174"/>
      <c r="BR34" s="174"/>
      <c r="BS34" s="174"/>
      <c r="BT34" s="174"/>
      <c r="BU34" s="58"/>
      <c r="BV34" s="59"/>
      <c r="BW34" s="173"/>
    </row>
    <row r="35" spans="2:75" ht="16.5" customHeight="1" thickBot="1">
      <c r="B35" s="308" t="s">
        <v>207</v>
      </c>
      <c r="C35" s="309"/>
      <c r="D35" s="309"/>
      <c r="E35" s="309"/>
      <c r="F35" s="309"/>
      <c r="G35" s="311"/>
      <c r="H35" s="4"/>
      <c r="J35" s="308" t="s">
        <v>208</v>
      </c>
      <c r="K35" s="309"/>
      <c r="L35" s="309"/>
      <c r="M35" s="309"/>
      <c r="N35" s="309"/>
      <c r="O35" s="309"/>
      <c r="P35" s="175"/>
      <c r="Q35" s="4"/>
      <c r="S35" s="308" t="s">
        <v>209</v>
      </c>
      <c r="T35" s="309"/>
      <c r="U35" s="309"/>
      <c r="V35" s="309"/>
      <c r="W35" s="309"/>
      <c r="X35" s="309"/>
      <c r="Y35" s="176"/>
      <c r="Z35" s="59"/>
      <c r="AB35" s="308" t="s">
        <v>210</v>
      </c>
      <c r="AC35" s="309"/>
      <c r="AD35" s="309"/>
      <c r="AE35" s="309"/>
      <c r="AF35" s="309"/>
      <c r="AG35" s="309"/>
      <c r="AH35" s="176"/>
      <c r="AI35" s="59"/>
      <c r="AK35" s="308" t="s">
        <v>211</v>
      </c>
      <c r="AL35" s="309"/>
      <c r="AM35" s="309"/>
      <c r="AN35" s="309"/>
      <c r="AO35" s="309"/>
      <c r="AP35" s="309"/>
      <c r="AQ35" s="176"/>
      <c r="AS35" s="308" t="s">
        <v>212</v>
      </c>
      <c r="AT35" s="309"/>
      <c r="AU35" s="309"/>
      <c r="AV35" s="309"/>
      <c r="AW35" s="309"/>
      <c r="AX35" s="309"/>
      <c r="AY35" s="176"/>
      <c r="AZ35" s="174"/>
      <c r="BA35" s="174"/>
      <c r="BB35" s="174"/>
      <c r="BC35" s="174"/>
      <c r="BD35" s="174"/>
      <c r="BE35" s="58"/>
      <c r="BF35" s="59"/>
      <c r="BG35" s="173"/>
      <c r="BH35" s="174"/>
      <c r="BI35" s="174"/>
      <c r="BJ35" s="174"/>
      <c r="BK35" s="174"/>
      <c r="BL35" s="174"/>
      <c r="BM35" s="58"/>
      <c r="BN35" s="59"/>
      <c r="BO35" s="173"/>
      <c r="BP35" s="174"/>
      <c r="BQ35" s="174"/>
      <c r="BR35" s="174"/>
      <c r="BS35" s="174"/>
      <c r="BT35" s="174"/>
      <c r="BU35" s="58"/>
      <c r="BV35" s="59"/>
      <c r="BW35" s="173"/>
    </row>
    <row r="36" spans="2:75" ht="16.5" customHeight="1">
      <c r="B36" s="308" t="s">
        <v>213</v>
      </c>
      <c r="C36" s="309"/>
      <c r="D36" s="309"/>
      <c r="E36" s="309"/>
      <c r="F36" s="309"/>
      <c r="G36" s="311"/>
      <c r="H36" s="4"/>
      <c r="J36" s="308" t="s">
        <v>214</v>
      </c>
      <c r="K36" s="309"/>
      <c r="L36" s="309"/>
      <c r="M36" s="309"/>
      <c r="N36" s="309"/>
      <c r="O36" s="309"/>
      <c r="P36" s="175"/>
      <c r="Q36" s="4"/>
      <c r="S36" s="308" t="s">
        <v>215</v>
      </c>
      <c r="T36" s="309"/>
      <c r="U36" s="309"/>
      <c r="V36" s="309"/>
      <c r="W36" s="309"/>
      <c r="X36" s="309"/>
      <c r="Y36" s="176"/>
      <c r="Z36" s="59"/>
      <c r="AB36" s="308" t="s">
        <v>216</v>
      </c>
      <c r="AC36" s="309"/>
      <c r="AD36" s="309"/>
      <c r="AE36" s="309"/>
      <c r="AF36" s="309"/>
      <c r="AG36" s="309"/>
      <c r="AH36" s="176"/>
      <c r="AI36" s="59"/>
      <c r="AK36" s="308" t="s">
        <v>216</v>
      </c>
      <c r="AL36" s="309"/>
      <c r="AM36" s="309"/>
      <c r="AN36" s="309"/>
      <c r="AO36" s="309"/>
      <c r="AP36" s="309"/>
      <c r="AQ36" s="176"/>
      <c r="AS36" s="308" t="s">
        <v>217</v>
      </c>
      <c r="AT36" s="309"/>
      <c r="AU36" s="309"/>
      <c r="AV36" s="309"/>
      <c r="AW36" s="309"/>
      <c r="AX36" s="309"/>
      <c r="AY36" s="176"/>
      <c r="AZ36" s="174"/>
      <c r="BA36" s="177" t="s">
        <v>218</v>
      </c>
      <c r="BB36" s="178"/>
      <c r="BC36" s="178"/>
      <c r="BD36" s="178"/>
      <c r="BE36" s="178"/>
      <c r="BF36" s="178"/>
      <c r="BG36" s="179"/>
      <c r="BH36" s="174"/>
      <c r="BI36" s="177" t="s">
        <v>218</v>
      </c>
      <c r="BJ36" s="178"/>
      <c r="BK36" s="178"/>
      <c r="BL36" s="178"/>
      <c r="BM36" s="178"/>
      <c r="BN36" s="178"/>
      <c r="BO36" s="179"/>
      <c r="BP36" s="174"/>
      <c r="BQ36" s="177" t="s">
        <v>218</v>
      </c>
      <c r="BR36" s="178"/>
      <c r="BS36" s="178"/>
      <c r="BT36" s="178"/>
      <c r="BU36" s="178"/>
      <c r="BV36" s="178"/>
      <c r="BW36" s="179"/>
    </row>
    <row r="37" spans="2:75" ht="16.5" customHeight="1">
      <c r="B37" s="308" t="s">
        <v>219</v>
      </c>
      <c r="C37" s="309"/>
      <c r="D37" s="309"/>
      <c r="E37" s="309"/>
      <c r="F37" s="309"/>
      <c r="G37" s="311"/>
      <c r="H37" s="4"/>
      <c r="J37" s="308" t="s">
        <v>220</v>
      </c>
      <c r="K37" s="309"/>
      <c r="L37" s="309"/>
      <c r="M37" s="309"/>
      <c r="N37" s="309"/>
      <c r="O37" s="309"/>
      <c r="P37" s="175"/>
      <c r="Q37" s="4"/>
      <c r="S37" s="308" t="s">
        <v>221</v>
      </c>
      <c r="T37" s="309"/>
      <c r="U37" s="309"/>
      <c r="V37" s="309"/>
      <c r="W37" s="309"/>
      <c r="X37" s="309"/>
      <c r="Y37" s="176"/>
      <c r="Z37" s="59"/>
      <c r="AB37" s="308" t="s">
        <v>221</v>
      </c>
      <c r="AC37" s="309"/>
      <c r="AD37" s="309"/>
      <c r="AE37" s="309"/>
      <c r="AF37" s="309"/>
      <c r="AG37" s="309"/>
      <c r="AH37" s="176"/>
      <c r="AI37" s="59"/>
      <c r="AK37" s="308" t="s">
        <v>222</v>
      </c>
      <c r="AL37" s="309"/>
      <c r="AM37" s="309"/>
      <c r="AN37" s="309"/>
      <c r="AO37" s="309"/>
      <c r="AP37" s="309"/>
      <c r="AQ37" s="176"/>
      <c r="AS37" s="308" t="s">
        <v>223</v>
      </c>
      <c r="AT37" s="309"/>
      <c r="AU37" s="309"/>
      <c r="AV37" s="309"/>
      <c r="AW37" s="309"/>
      <c r="AX37" s="309"/>
      <c r="AY37" s="176"/>
      <c r="AZ37" s="174"/>
      <c r="BA37" s="180" t="s">
        <v>224</v>
      </c>
      <c r="BB37" s="181"/>
      <c r="BC37" s="181"/>
      <c r="BD37" s="181"/>
      <c r="BE37" s="181"/>
      <c r="BF37" s="181"/>
      <c r="BG37" s="182"/>
      <c r="BH37" s="174"/>
      <c r="BI37" s="180" t="s">
        <v>224</v>
      </c>
      <c r="BJ37" s="181"/>
      <c r="BK37" s="181"/>
      <c r="BL37" s="181"/>
      <c r="BM37" s="181"/>
      <c r="BN37" s="181"/>
      <c r="BO37" s="182"/>
      <c r="BP37" s="174"/>
      <c r="BQ37" s="180" t="s">
        <v>224</v>
      </c>
      <c r="BR37" s="181"/>
      <c r="BS37" s="181"/>
      <c r="BT37" s="181"/>
      <c r="BU37" s="181"/>
      <c r="BV37" s="181"/>
      <c r="BW37" s="182"/>
    </row>
    <row r="38" spans="2:75" ht="16.5" customHeight="1">
      <c r="B38" s="308" t="s">
        <v>225</v>
      </c>
      <c r="C38" s="309"/>
      <c r="D38" s="309"/>
      <c r="E38" s="309"/>
      <c r="F38" s="309"/>
      <c r="G38" s="311"/>
      <c r="H38" s="4"/>
      <c r="J38" s="308" t="s">
        <v>226</v>
      </c>
      <c r="K38" s="309"/>
      <c r="L38" s="309"/>
      <c r="M38" s="309"/>
      <c r="N38" s="309"/>
      <c r="O38" s="309"/>
      <c r="P38" s="175"/>
      <c r="Q38" s="4"/>
      <c r="S38" s="308" t="s">
        <v>227</v>
      </c>
      <c r="T38" s="309"/>
      <c r="U38" s="309"/>
      <c r="V38" s="309"/>
      <c r="W38" s="309"/>
      <c r="X38" s="309"/>
      <c r="Y38" s="176"/>
      <c r="Z38" s="59"/>
      <c r="AB38" s="308" t="s">
        <v>227</v>
      </c>
      <c r="AC38" s="309"/>
      <c r="AD38" s="309"/>
      <c r="AE38" s="309"/>
      <c r="AF38" s="309"/>
      <c r="AG38" s="309"/>
      <c r="AH38" s="176"/>
      <c r="AI38" s="59"/>
      <c r="AK38" s="308" t="s">
        <v>227</v>
      </c>
      <c r="AL38" s="309"/>
      <c r="AM38" s="309"/>
      <c r="AN38" s="309"/>
      <c r="AO38" s="309"/>
      <c r="AP38" s="309"/>
      <c r="AQ38" s="176"/>
      <c r="AS38" s="308" t="s">
        <v>227</v>
      </c>
      <c r="AT38" s="309"/>
      <c r="AU38" s="309"/>
      <c r="AV38" s="309"/>
      <c r="AW38" s="309"/>
      <c r="AX38" s="309"/>
      <c r="AY38" s="176"/>
      <c r="AZ38" s="174"/>
      <c r="BA38" s="180" t="s">
        <v>228</v>
      </c>
      <c r="BB38" s="181"/>
      <c r="BC38" s="181"/>
      <c r="BD38" s="181"/>
      <c r="BE38" s="181"/>
      <c r="BF38" s="181"/>
      <c r="BG38" s="182"/>
      <c r="BH38" s="174"/>
      <c r="BI38" s="180" t="s">
        <v>228</v>
      </c>
      <c r="BJ38" s="181"/>
      <c r="BK38" s="181"/>
      <c r="BL38" s="181"/>
      <c r="BM38" s="181"/>
      <c r="BN38" s="181"/>
      <c r="BO38" s="182"/>
      <c r="BP38" s="174"/>
      <c r="BQ38" s="180" t="s">
        <v>228</v>
      </c>
      <c r="BR38" s="181"/>
      <c r="BS38" s="181"/>
      <c r="BT38" s="181"/>
      <c r="BU38" s="181"/>
      <c r="BV38" s="181"/>
      <c r="BW38" s="182"/>
    </row>
    <row r="39" spans="2:75" ht="16.5" customHeight="1">
      <c r="B39" s="308" t="s">
        <v>229</v>
      </c>
      <c r="C39" s="309"/>
      <c r="D39" s="309"/>
      <c r="E39" s="309"/>
      <c r="F39" s="309"/>
      <c r="G39" s="311"/>
      <c r="H39" s="4"/>
      <c r="J39" s="308" t="s">
        <v>230</v>
      </c>
      <c r="K39" s="309"/>
      <c r="L39" s="309"/>
      <c r="M39" s="309"/>
      <c r="N39" s="309"/>
      <c r="O39" s="309"/>
      <c r="P39" s="175"/>
      <c r="Q39" s="4"/>
      <c r="S39" s="308" t="s">
        <v>231</v>
      </c>
      <c r="T39" s="309"/>
      <c r="U39" s="309"/>
      <c r="V39" s="309"/>
      <c r="W39" s="309"/>
      <c r="X39" s="309"/>
      <c r="Y39" s="176"/>
      <c r="Z39" s="59"/>
      <c r="AB39" s="308" t="s">
        <v>231</v>
      </c>
      <c r="AC39" s="309"/>
      <c r="AD39" s="309"/>
      <c r="AE39" s="309"/>
      <c r="AF39" s="309"/>
      <c r="AG39" s="309"/>
      <c r="AH39" s="176"/>
      <c r="AI39" s="59"/>
      <c r="AK39" s="308" t="s">
        <v>231</v>
      </c>
      <c r="AL39" s="309"/>
      <c r="AM39" s="309"/>
      <c r="AN39" s="309"/>
      <c r="AO39" s="309"/>
      <c r="AP39" s="309"/>
      <c r="AQ39" s="176"/>
      <c r="AS39" s="308" t="s">
        <v>231</v>
      </c>
      <c r="AT39" s="309"/>
      <c r="AU39" s="309"/>
      <c r="AV39" s="309"/>
      <c r="AW39" s="309"/>
      <c r="AX39" s="309"/>
      <c r="AY39" s="176"/>
      <c r="AZ39" s="174"/>
      <c r="BA39" s="180" t="s">
        <v>232</v>
      </c>
      <c r="BB39" s="181"/>
      <c r="BC39" s="181"/>
      <c r="BD39" s="181"/>
      <c r="BE39" s="181"/>
      <c r="BF39" s="181"/>
      <c r="BG39" s="182"/>
      <c r="BH39" s="174"/>
      <c r="BI39" s="180" t="s">
        <v>232</v>
      </c>
      <c r="BJ39" s="181"/>
      <c r="BK39" s="181"/>
      <c r="BL39" s="181"/>
      <c r="BM39" s="181"/>
      <c r="BN39" s="181"/>
      <c r="BO39" s="182"/>
      <c r="BP39" s="174"/>
      <c r="BQ39" s="180" t="s">
        <v>232</v>
      </c>
      <c r="BR39" s="181"/>
      <c r="BS39" s="181"/>
      <c r="BT39" s="181"/>
      <c r="BU39" s="181"/>
      <c r="BV39" s="181"/>
      <c r="BW39" s="182"/>
    </row>
    <row r="40" spans="2:75" ht="16.5" customHeight="1">
      <c r="B40" s="308" t="s">
        <v>233</v>
      </c>
      <c r="C40" s="309"/>
      <c r="D40" s="309"/>
      <c r="E40" s="309"/>
      <c r="F40" s="309"/>
      <c r="G40" s="311"/>
      <c r="H40" s="4"/>
      <c r="J40" s="308" t="s">
        <v>234</v>
      </c>
      <c r="K40" s="309"/>
      <c r="L40" s="309"/>
      <c r="M40" s="309"/>
      <c r="N40" s="309"/>
      <c r="O40" s="309"/>
      <c r="P40" s="175"/>
      <c r="Q40" s="4"/>
      <c r="S40" s="308" t="s">
        <v>235</v>
      </c>
      <c r="T40" s="309"/>
      <c r="U40" s="309"/>
      <c r="V40" s="309"/>
      <c r="W40" s="309"/>
      <c r="X40" s="309"/>
      <c r="Y40" s="176"/>
      <c r="Z40" s="59"/>
      <c r="AB40" s="308" t="s">
        <v>235</v>
      </c>
      <c r="AC40" s="309"/>
      <c r="AD40" s="309"/>
      <c r="AE40" s="309"/>
      <c r="AF40" s="309"/>
      <c r="AG40" s="309"/>
      <c r="AH40" s="176"/>
      <c r="AI40" s="59"/>
      <c r="AK40" s="308" t="s">
        <v>235</v>
      </c>
      <c r="AL40" s="309"/>
      <c r="AM40" s="309"/>
      <c r="AN40" s="309"/>
      <c r="AO40" s="309"/>
      <c r="AP40" s="309"/>
      <c r="AQ40" s="176"/>
      <c r="AS40" s="308" t="s">
        <v>235</v>
      </c>
      <c r="AT40" s="309"/>
      <c r="AU40" s="309"/>
      <c r="AV40" s="309"/>
      <c r="AW40" s="309"/>
      <c r="AX40" s="309"/>
      <c r="AY40" s="176"/>
      <c r="AZ40" s="174"/>
      <c r="BA40" s="180" t="s">
        <v>227</v>
      </c>
      <c r="BB40" s="181"/>
      <c r="BC40" s="181"/>
      <c r="BD40" s="181"/>
      <c r="BE40" s="181"/>
      <c r="BF40" s="181"/>
      <c r="BG40" s="182"/>
      <c r="BH40" s="174"/>
      <c r="BI40" s="180" t="s">
        <v>227</v>
      </c>
      <c r="BJ40" s="181"/>
      <c r="BK40" s="181"/>
      <c r="BL40" s="181"/>
      <c r="BM40" s="181"/>
      <c r="BN40" s="181"/>
      <c r="BO40" s="182"/>
      <c r="BP40" s="174"/>
      <c r="BQ40" s="180" t="s">
        <v>227</v>
      </c>
      <c r="BR40" s="181"/>
      <c r="BS40" s="181"/>
      <c r="BT40" s="181"/>
      <c r="BU40" s="181"/>
      <c r="BV40" s="181"/>
      <c r="BW40" s="182"/>
    </row>
    <row r="41" spans="2:75" ht="16.5" customHeight="1">
      <c r="B41" s="308" t="s">
        <v>236</v>
      </c>
      <c r="C41" s="309"/>
      <c r="D41" s="309"/>
      <c r="E41" s="309"/>
      <c r="F41" s="309"/>
      <c r="G41" s="311"/>
      <c r="H41" s="4"/>
      <c r="J41" s="308" t="s">
        <v>237</v>
      </c>
      <c r="K41" s="309"/>
      <c r="L41" s="309"/>
      <c r="M41" s="309"/>
      <c r="N41" s="309"/>
      <c r="O41" s="309"/>
      <c r="P41" s="175"/>
      <c r="Q41" s="4"/>
      <c r="S41" s="308" t="s">
        <v>238</v>
      </c>
      <c r="T41" s="309"/>
      <c r="U41" s="309"/>
      <c r="V41" s="309"/>
      <c r="W41" s="309"/>
      <c r="X41" s="309"/>
      <c r="Y41" s="176"/>
      <c r="Z41" s="59"/>
      <c r="AB41" s="308" t="s">
        <v>238</v>
      </c>
      <c r="AC41" s="309"/>
      <c r="AD41" s="309"/>
      <c r="AE41" s="309"/>
      <c r="AF41" s="309"/>
      <c r="AG41" s="309"/>
      <c r="AH41" s="176"/>
      <c r="AI41" s="59"/>
      <c r="AK41" s="308" t="s">
        <v>238</v>
      </c>
      <c r="AL41" s="309"/>
      <c r="AM41" s="309"/>
      <c r="AN41" s="309"/>
      <c r="AO41" s="309"/>
      <c r="AP41" s="309"/>
      <c r="AQ41" s="176"/>
      <c r="AS41" s="308" t="s">
        <v>238</v>
      </c>
      <c r="AT41" s="309"/>
      <c r="AU41" s="309"/>
      <c r="AV41" s="309"/>
      <c r="AW41" s="309"/>
      <c r="AX41" s="309"/>
      <c r="AY41" s="176"/>
      <c r="AZ41" s="174"/>
      <c r="BA41" s="180" t="s">
        <v>231</v>
      </c>
      <c r="BB41" s="181"/>
      <c r="BC41" s="181"/>
      <c r="BD41" s="181"/>
      <c r="BE41" s="181"/>
      <c r="BF41" s="181"/>
      <c r="BG41" s="182"/>
      <c r="BH41" s="174"/>
      <c r="BI41" s="180" t="s">
        <v>231</v>
      </c>
      <c r="BJ41" s="181"/>
      <c r="BK41" s="181"/>
      <c r="BL41" s="181"/>
      <c r="BM41" s="181"/>
      <c r="BN41" s="181"/>
      <c r="BO41" s="182"/>
      <c r="BP41" s="174"/>
      <c r="BQ41" s="180" t="s">
        <v>231</v>
      </c>
      <c r="BR41" s="181"/>
      <c r="BS41" s="181"/>
      <c r="BT41" s="181"/>
      <c r="BU41" s="181"/>
      <c r="BV41" s="181"/>
      <c r="BW41" s="182"/>
    </row>
    <row r="42" spans="2:75" ht="16.5" customHeight="1">
      <c r="B42" s="310" t="s">
        <v>239</v>
      </c>
      <c r="C42" s="309"/>
      <c r="D42" s="309"/>
      <c r="E42" s="309"/>
      <c r="F42" s="309"/>
      <c r="G42" s="311"/>
      <c r="H42" s="183"/>
      <c r="J42" s="310" t="s">
        <v>240</v>
      </c>
      <c r="K42" s="309"/>
      <c r="L42" s="309"/>
      <c r="M42" s="309"/>
      <c r="N42" s="309"/>
      <c r="O42" s="309"/>
      <c r="P42" s="175"/>
      <c r="Q42" s="4"/>
      <c r="S42" s="310" t="s">
        <v>241</v>
      </c>
      <c r="T42" s="309"/>
      <c r="U42" s="309"/>
      <c r="V42" s="309"/>
      <c r="W42" s="309"/>
      <c r="X42" s="309"/>
      <c r="Y42" s="176"/>
      <c r="Z42" s="59"/>
      <c r="AB42" s="310" t="s">
        <v>241</v>
      </c>
      <c r="AC42" s="309"/>
      <c r="AD42" s="309"/>
      <c r="AE42" s="309"/>
      <c r="AF42" s="309"/>
      <c r="AG42" s="309"/>
      <c r="AH42" s="176"/>
      <c r="AI42" s="59"/>
      <c r="AK42" s="310" t="s">
        <v>241</v>
      </c>
      <c r="AL42" s="309"/>
      <c r="AM42" s="309"/>
      <c r="AN42" s="309"/>
      <c r="AO42" s="309"/>
      <c r="AP42" s="309"/>
      <c r="AQ42" s="176"/>
      <c r="AS42" s="310" t="s">
        <v>241</v>
      </c>
      <c r="AT42" s="309"/>
      <c r="AU42" s="309"/>
      <c r="AV42" s="309"/>
      <c r="AW42" s="309"/>
      <c r="AX42" s="309"/>
      <c r="AY42" s="176"/>
      <c r="AZ42" s="174"/>
      <c r="BA42" s="180" t="s">
        <v>235</v>
      </c>
      <c r="BB42" s="181"/>
      <c r="BC42" s="181"/>
      <c r="BD42" s="181"/>
      <c r="BE42" s="181"/>
      <c r="BF42" s="181"/>
      <c r="BG42" s="182"/>
      <c r="BH42" s="174"/>
      <c r="BI42" s="180" t="s">
        <v>235</v>
      </c>
      <c r="BJ42" s="181"/>
      <c r="BK42" s="181"/>
      <c r="BL42" s="181"/>
      <c r="BM42" s="181"/>
      <c r="BN42" s="181"/>
      <c r="BO42" s="182"/>
      <c r="BP42" s="174"/>
      <c r="BQ42" s="180" t="s">
        <v>235</v>
      </c>
      <c r="BR42" s="181"/>
      <c r="BS42" s="181"/>
      <c r="BT42" s="181"/>
      <c r="BU42" s="181"/>
      <c r="BV42" s="181"/>
      <c r="BW42" s="182"/>
    </row>
    <row r="43" spans="2:75" ht="16.5" customHeight="1">
      <c r="J43" s="58"/>
      <c r="W43" s="58"/>
      <c r="X43" s="59"/>
      <c r="Y43" s="173"/>
      <c r="Z43" s="173"/>
      <c r="AZ43" s="174"/>
      <c r="BA43" s="180" t="s">
        <v>238</v>
      </c>
      <c r="BB43" s="181"/>
      <c r="BC43" s="181"/>
      <c r="BD43" s="181"/>
      <c r="BE43" s="181"/>
      <c r="BF43" s="181"/>
      <c r="BG43" s="182"/>
      <c r="BH43" s="174"/>
      <c r="BI43" s="180" t="s">
        <v>238</v>
      </c>
      <c r="BJ43" s="181"/>
      <c r="BK43" s="181"/>
      <c r="BL43" s="181"/>
      <c r="BM43" s="181"/>
      <c r="BN43" s="181"/>
      <c r="BO43" s="182"/>
      <c r="BP43" s="174"/>
      <c r="BQ43" s="180" t="s">
        <v>238</v>
      </c>
      <c r="BR43" s="181"/>
      <c r="BS43" s="181"/>
      <c r="BT43" s="181"/>
      <c r="BU43" s="181"/>
      <c r="BV43" s="181"/>
      <c r="BW43" s="182"/>
    </row>
    <row r="44" spans="2:75" ht="16.5" customHeight="1" thickBot="1">
      <c r="J44" s="58"/>
      <c r="W44" s="58"/>
      <c r="X44" s="59"/>
      <c r="Y44" s="173"/>
      <c r="Z44" s="173"/>
      <c r="AZ44" s="174"/>
      <c r="BA44" s="184" t="s">
        <v>241</v>
      </c>
      <c r="BB44" s="185"/>
      <c r="BC44" s="185"/>
      <c r="BD44" s="185"/>
      <c r="BE44" s="185"/>
      <c r="BF44" s="185"/>
      <c r="BG44" s="186"/>
      <c r="BH44" s="174"/>
      <c r="BI44" s="184" t="s">
        <v>241</v>
      </c>
      <c r="BJ44" s="185"/>
      <c r="BK44" s="185"/>
      <c r="BL44" s="185"/>
      <c r="BM44" s="185"/>
      <c r="BN44" s="185"/>
      <c r="BO44" s="186"/>
      <c r="BP44" s="174"/>
      <c r="BQ44" s="184" t="s">
        <v>241</v>
      </c>
      <c r="BR44" s="185"/>
      <c r="BS44" s="185"/>
      <c r="BT44" s="185"/>
      <c r="BU44" s="185"/>
      <c r="BV44" s="185"/>
      <c r="BW44" s="186"/>
    </row>
    <row r="45" spans="2:75" ht="16.5" customHeight="1">
      <c r="J45" s="58"/>
      <c r="W45" s="58"/>
      <c r="X45" s="59"/>
      <c r="Y45" s="173"/>
      <c r="Z45" s="173"/>
    </row>
    <row r="46" spans="2:75" ht="16.5" customHeight="1">
      <c r="J46" s="58"/>
      <c r="W46" s="58"/>
      <c r="X46" s="59"/>
      <c r="Y46" s="173"/>
      <c r="Z46" s="173"/>
    </row>
    <row r="47" spans="2:75" ht="16.5" customHeight="1">
      <c r="J47" s="58"/>
      <c r="W47" s="58"/>
      <c r="X47" s="59"/>
      <c r="Y47" s="173"/>
      <c r="Z47" s="173"/>
    </row>
    <row r="48" spans="2:75" ht="16.5" customHeight="1">
      <c r="J48" s="58"/>
      <c r="W48" s="58"/>
      <c r="X48" s="59"/>
      <c r="Y48" s="173"/>
      <c r="Z48" s="173"/>
    </row>
    <row r="49" spans="10:26" ht="16.5" customHeight="1">
      <c r="J49" s="58"/>
      <c r="W49" s="58"/>
      <c r="X49" s="59"/>
      <c r="Y49" s="173"/>
      <c r="Z49" s="173"/>
    </row>
    <row r="50" spans="10:26" ht="16.5" customHeight="1">
      <c r="J50" s="58"/>
      <c r="W50" s="58"/>
      <c r="X50" s="59"/>
      <c r="Y50" s="173"/>
      <c r="Z50" s="173"/>
    </row>
    <row r="51" spans="10:26" ht="16.5" customHeight="1">
      <c r="J51" s="58"/>
      <c r="W51" s="58"/>
      <c r="X51" s="59"/>
      <c r="Y51" s="173"/>
      <c r="Z51" s="173"/>
    </row>
    <row r="52" spans="10:26" ht="16.5" customHeight="1">
      <c r="J52" s="58"/>
      <c r="W52" s="58"/>
      <c r="X52" s="59"/>
      <c r="Y52" s="173"/>
      <c r="Z52" s="173"/>
    </row>
    <row r="53" spans="10:26" ht="16.5" customHeight="1">
      <c r="J53" s="58"/>
      <c r="W53" s="58"/>
      <c r="X53" s="59"/>
      <c r="Y53" s="173"/>
      <c r="Z53" s="173"/>
    </row>
    <row r="54" spans="10:26" ht="16.5" customHeight="1">
      <c r="J54" s="58"/>
      <c r="W54" s="58"/>
      <c r="X54" s="59"/>
      <c r="Y54" s="173"/>
      <c r="Z54" s="173"/>
    </row>
    <row r="55" spans="10:26" ht="16.5" customHeight="1">
      <c r="J55" s="58"/>
      <c r="W55" s="58"/>
      <c r="X55" s="59"/>
      <c r="Y55" s="173"/>
      <c r="Z55" s="173"/>
    </row>
    <row r="56" spans="10:26" ht="16.5" customHeight="1">
      <c r="J56" s="58"/>
      <c r="W56" s="58"/>
      <c r="X56" s="59"/>
      <c r="Y56" s="173"/>
      <c r="Z56" s="173"/>
    </row>
    <row r="57" spans="10:26" ht="16.5" customHeight="1">
      <c r="J57" s="58"/>
      <c r="W57" s="58"/>
      <c r="X57" s="59"/>
      <c r="Y57" s="173"/>
      <c r="Z57" s="173"/>
    </row>
    <row r="58" spans="10:26" ht="16.5" customHeight="1">
      <c r="J58" s="58"/>
      <c r="W58" s="58"/>
      <c r="X58" s="59"/>
      <c r="Y58" s="173"/>
      <c r="Z58" s="173"/>
    </row>
    <row r="59" spans="10:26" ht="16.5" customHeight="1">
      <c r="J59" s="58"/>
      <c r="W59" s="58"/>
      <c r="X59" s="59"/>
      <c r="Y59" s="173"/>
      <c r="Z59" s="173"/>
    </row>
    <row r="60" spans="10:26" ht="16.5" customHeight="1">
      <c r="J60" s="58"/>
      <c r="W60" s="58"/>
      <c r="X60" s="59"/>
      <c r="Y60" s="173"/>
      <c r="Z60" s="173"/>
    </row>
    <row r="61" spans="10:26" ht="16.5" customHeight="1">
      <c r="J61" s="58"/>
      <c r="W61" s="58"/>
      <c r="X61" s="59"/>
      <c r="Y61" s="173"/>
      <c r="Z61" s="173"/>
    </row>
    <row r="62" spans="10:26" ht="16.5" customHeight="1">
      <c r="J62" s="58"/>
      <c r="W62" s="58"/>
      <c r="X62" s="59"/>
      <c r="Y62" s="173"/>
      <c r="Z62" s="173"/>
    </row>
    <row r="63" spans="10:26" ht="16.5" customHeight="1">
      <c r="J63" s="58"/>
      <c r="W63" s="58"/>
      <c r="X63" s="59"/>
      <c r="Y63" s="173"/>
      <c r="Z63" s="173"/>
    </row>
    <row r="64" spans="10:26" ht="16.5" customHeight="1">
      <c r="J64" s="58"/>
      <c r="W64" s="58"/>
      <c r="X64" s="59"/>
      <c r="Y64" s="173"/>
      <c r="Z64" s="173"/>
    </row>
    <row r="65" spans="10:26" ht="16.5" customHeight="1">
      <c r="J65" s="58"/>
      <c r="W65" s="58"/>
      <c r="X65" s="59"/>
      <c r="Y65" s="173"/>
      <c r="Z65" s="173"/>
    </row>
    <row r="66" spans="10:26" ht="16.5" customHeight="1">
      <c r="J66" s="58"/>
      <c r="W66" s="58"/>
      <c r="X66" s="59"/>
      <c r="Y66" s="173"/>
      <c r="Z66" s="173"/>
    </row>
    <row r="67" spans="10:26" ht="16.5" customHeight="1">
      <c r="J67" s="58"/>
      <c r="W67" s="58"/>
      <c r="X67" s="59"/>
      <c r="Y67" s="173"/>
      <c r="Z67" s="173"/>
    </row>
    <row r="68" spans="10:26" ht="16.5" customHeight="1">
      <c r="J68" s="58"/>
      <c r="W68" s="58"/>
      <c r="X68" s="59"/>
      <c r="Y68" s="173"/>
      <c r="Z68" s="173"/>
    </row>
    <row r="69" spans="10:26" ht="16.5" customHeight="1">
      <c r="J69" s="58"/>
      <c r="W69" s="58"/>
      <c r="X69" s="59"/>
      <c r="Y69" s="173"/>
      <c r="Z69" s="173"/>
    </row>
    <row r="70" spans="10:26" ht="16.5" customHeight="1">
      <c r="J70" s="58"/>
      <c r="W70" s="58"/>
      <c r="X70" s="59"/>
      <c r="Y70" s="173"/>
      <c r="Z70" s="173"/>
    </row>
    <row r="71" spans="10:26" ht="16.5" customHeight="1">
      <c r="J71" s="58"/>
      <c r="W71" s="58"/>
      <c r="X71" s="59"/>
      <c r="Y71" s="173"/>
      <c r="Z71" s="173"/>
    </row>
    <row r="72" spans="10:26" ht="16.5" customHeight="1">
      <c r="J72" s="58"/>
      <c r="W72" s="58"/>
      <c r="X72" s="59"/>
      <c r="Y72" s="173"/>
      <c r="Z72" s="173"/>
    </row>
    <row r="73" spans="10:26" ht="16.5" customHeight="1">
      <c r="J73" s="58"/>
      <c r="W73" s="58"/>
      <c r="X73" s="59"/>
      <c r="Y73" s="173"/>
      <c r="Z73" s="173"/>
    </row>
    <row r="74" spans="10:26" ht="16.5" customHeight="1">
      <c r="J74" s="58"/>
      <c r="W74" s="58"/>
      <c r="X74" s="59"/>
      <c r="Y74" s="173"/>
      <c r="Z74" s="173"/>
    </row>
    <row r="75" spans="10:26" ht="16.5" customHeight="1">
      <c r="J75" s="58"/>
      <c r="W75" s="58"/>
      <c r="X75" s="59"/>
      <c r="Y75" s="173"/>
      <c r="Z75" s="173"/>
    </row>
    <row r="76" spans="10:26" ht="16.5" customHeight="1">
      <c r="J76" s="58"/>
      <c r="W76" s="58"/>
      <c r="X76" s="59"/>
      <c r="Y76" s="173"/>
      <c r="Z76" s="173"/>
    </row>
    <row r="77" spans="10:26" ht="16.5" customHeight="1">
      <c r="J77" s="58"/>
      <c r="W77" s="58"/>
      <c r="X77" s="59"/>
      <c r="Y77" s="173"/>
      <c r="Z77" s="173"/>
    </row>
    <row r="78" spans="10:26" ht="16.5" customHeight="1">
      <c r="J78" s="58"/>
      <c r="W78" s="58"/>
      <c r="X78" s="59"/>
      <c r="Y78" s="173"/>
      <c r="Z78" s="173"/>
    </row>
    <row r="79" spans="10:26" ht="16.5" customHeight="1">
      <c r="J79" s="58"/>
      <c r="W79" s="58"/>
      <c r="X79" s="59"/>
      <c r="Y79" s="173"/>
      <c r="Z79" s="173"/>
    </row>
    <row r="80" spans="10:26" ht="16.5" customHeight="1">
      <c r="J80" s="58"/>
      <c r="W80" s="58"/>
      <c r="X80" s="59"/>
      <c r="Y80" s="173"/>
      <c r="Z80" s="173"/>
    </row>
    <row r="81" spans="10:26" ht="16.5" customHeight="1">
      <c r="J81" s="58"/>
      <c r="W81" s="58"/>
      <c r="X81" s="59"/>
      <c r="Y81" s="173"/>
      <c r="Z81" s="173"/>
    </row>
    <row r="82" spans="10:26" ht="16.5" customHeight="1">
      <c r="J82" s="58"/>
      <c r="W82" s="58"/>
      <c r="X82" s="59"/>
      <c r="Y82" s="173"/>
      <c r="Z82" s="173"/>
    </row>
    <row r="83" spans="10:26" ht="16.5" customHeight="1">
      <c r="J83" s="58"/>
      <c r="W83" s="58"/>
      <c r="X83" s="59"/>
      <c r="Y83" s="173"/>
      <c r="Z83" s="173"/>
    </row>
    <row r="84" spans="10:26" ht="16.5" customHeight="1">
      <c r="J84" s="58"/>
      <c r="W84" s="58"/>
      <c r="X84" s="59"/>
      <c r="Y84" s="173"/>
      <c r="Z84" s="173"/>
    </row>
    <row r="85" spans="10:26" ht="16.5" customHeight="1">
      <c r="J85" s="58"/>
      <c r="W85" s="58"/>
      <c r="X85" s="59"/>
      <c r="Y85" s="173"/>
      <c r="Z85" s="173"/>
    </row>
    <row r="86" spans="10:26" ht="16.5" customHeight="1">
      <c r="J86" s="58"/>
      <c r="W86" s="58"/>
      <c r="X86" s="59"/>
      <c r="Y86" s="173"/>
      <c r="Z86" s="173"/>
    </row>
    <row r="87" spans="10:26" ht="16.5" customHeight="1">
      <c r="J87" s="58"/>
      <c r="W87" s="58"/>
      <c r="X87" s="59"/>
      <c r="Y87" s="173"/>
      <c r="Z87" s="173"/>
    </row>
    <row r="88" spans="10:26" ht="16.5" customHeight="1">
      <c r="J88" s="58"/>
      <c r="W88" s="58"/>
      <c r="X88" s="59"/>
      <c r="Y88" s="173"/>
      <c r="Z88" s="173"/>
    </row>
    <row r="89" spans="10:26" ht="16.5" customHeight="1">
      <c r="J89" s="58"/>
      <c r="W89" s="58"/>
      <c r="X89" s="59"/>
      <c r="Y89" s="173"/>
      <c r="Z89" s="173"/>
    </row>
    <row r="90" spans="10:26" ht="16.5" customHeight="1">
      <c r="J90" s="58"/>
      <c r="W90" s="58"/>
      <c r="X90" s="59"/>
      <c r="Y90" s="173"/>
      <c r="Z90" s="173"/>
    </row>
    <row r="91" spans="10:26" ht="16.5" customHeight="1">
      <c r="J91" s="58"/>
      <c r="W91" s="58"/>
      <c r="X91" s="59"/>
      <c r="Y91" s="173"/>
      <c r="Z91" s="173"/>
    </row>
    <row r="92" spans="10:26" ht="16.5" customHeight="1">
      <c r="J92" s="58"/>
      <c r="W92" s="58"/>
      <c r="X92" s="59"/>
      <c r="Y92" s="173"/>
      <c r="Z92" s="173"/>
    </row>
    <row r="93" spans="10:26" ht="16.5" customHeight="1">
      <c r="J93" s="58"/>
      <c r="W93" s="58"/>
      <c r="X93" s="59"/>
      <c r="Y93" s="173"/>
      <c r="Z93" s="173"/>
    </row>
    <row r="94" spans="10:26" ht="16.5" customHeight="1">
      <c r="J94" s="58"/>
      <c r="W94" s="58"/>
      <c r="X94" s="59"/>
      <c r="Y94" s="173"/>
      <c r="Z94" s="173"/>
    </row>
    <row r="95" spans="10:26" ht="16.5" customHeight="1">
      <c r="J95" s="58"/>
      <c r="W95" s="58"/>
      <c r="X95" s="59"/>
      <c r="Y95" s="173"/>
      <c r="Z95" s="173"/>
    </row>
    <row r="96" spans="10:26" ht="16.5" customHeight="1">
      <c r="J96" s="58"/>
      <c r="W96" s="58"/>
      <c r="X96" s="59"/>
      <c r="Y96" s="173"/>
      <c r="Z96" s="173"/>
    </row>
    <row r="97" spans="10:26" ht="16.5" customHeight="1">
      <c r="J97" s="58"/>
      <c r="W97" s="58"/>
      <c r="X97" s="59"/>
      <c r="Y97" s="173"/>
      <c r="Z97" s="173"/>
    </row>
    <row r="98" spans="10:26" ht="16.5" customHeight="1">
      <c r="J98" s="58"/>
      <c r="W98" s="58"/>
      <c r="X98" s="59"/>
      <c r="Y98" s="173"/>
      <c r="Z98" s="173"/>
    </row>
    <row r="99" spans="10:26" ht="16.5" customHeight="1">
      <c r="J99" s="58"/>
      <c r="W99" s="58"/>
      <c r="X99" s="59"/>
      <c r="Y99" s="173"/>
      <c r="Z99" s="173"/>
    </row>
    <row r="100" spans="10:26" ht="16.5" customHeight="1">
      <c r="J100" s="58"/>
      <c r="W100" s="58"/>
      <c r="X100" s="59"/>
      <c r="Y100" s="173"/>
      <c r="Z100" s="173"/>
    </row>
    <row r="101" spans="10:26" ht="16.5" customHeight="1">
      <c r="J101" s="58"/>
      <c r="W101" s="58"/>
      <c r="X101" s="59"/>
      <c r="Y101" s="173"/>
      <c r="Z101" s="173"/>
    </row>
    <row r="102" spans="10:26" ht="16.5" customHeight="1">
      <c r="J102" s="58"/>
      <c r="W102" s="58"/>
      <c r="X102" s="59"/>
      <c r="Y102" s="173"/>
      <c r="Z102" s="173"/>
    </row>
    <row r="103" spans="10:26" ht="16.5" customHeight="1">
      <c r="J103" s="58"/>
      <c r="W103" s="58"/>
      <c r="X103" s="59"/>
      <c r="Y103" s="173"/>
      <c r="Z103" s="173"/>
    </row>
    <row r="104" spans="10:26" ht="16.5" customHeight="1">
      <c r="J104" s="58"/>
      <c r="W104" s="58"/>
      <c r="X104" s="59"/>
      <c r="Y104" s="173"/>
      <c r="Z104" s="173"/>
    </row>
    <row r="105" spans="10:26" ht="16.5" customHeight="1">
      <c r="J105" s="58"/>
      <c r="W105" s="58"/>
      <c r="X105" s="59"/>
      <c r="Y105" s="173"/>
      <c r="Z105" s="173"/>
    </row>
    <row r="106" spans="10:26" ht="16.5" customHeight="1">
      <c r="J106" s="58"/>
      <c r="W106" s="58"/>
      <c r="X106" s="59"/>
      <c r="Y106" s="173"/>
      <c r="Z106" s="173"/>
    </row>
    <row r="107" spans="10:26" ht="16.5" customHeight="1">
      <c r="J107" s="58"/>
      <c r="W107" s="58"/>
      <c r="X107" s="59"/>
      <c r="Y107" s="173"/>
      <c r="Z107" s="173"/>
    </row>
    <row r="108" spans="10:26" ht="16.5" customHeight="1">
      <c r="J108" s="58"/>
      <c r="W108" s="58"/>
      <c r="X108" s="59"/>
      <c r="Y108" s="173"/>
      <c r="Z108" s="173"/>
    </row>
    <row r="109" spans="10:26" ht="16.5" customHeight="1">
      <c r="J109" s="58"/>
      <c r="W109" s="58"/>
      <c r="X109" s="59"/>
      <c r="Y109" s="173"/>
      <c r="Z109" s="173"/>
    </row>
    <row r="110" spans="10:26" ht="16.5" customHeight="1">
      <c r="J110" s="58"/>
      <c r="W110" s="58"/>
      <c r="X110" s="59"/>
      <c r="Y110" s="173"/>
      <c r="Z110" s="173"/>
    </row>
    <row r="111" spans="10:26" ht="16.5" customHeight="1">
      <c r="J111" s="58"/>
      <c r="W111" s="58"/>
      <c r="X111" s="59"/>
      <c r="Y111" s="173"/>
      <c r="Z111" s="173"/>
    </row>
    <row r="112" spans="10:26" ht="16.5" customHeight="1">
      <c r="J112" s="58"/>
      <c r="W112" s="58"/>
      <c r="X112" s="59"/>
      <c r="Y112" s="173"/>
      <c r="Z112" s="173"/>
    </row>
    <row r="113" spans="10:26" ht="16.5" customHeight="1">
      <c r="J113" s="58"/>
      <c r="W113" s="58"/>
      <c r="X113" s="59"/>
      <c r="Y113" s="173"/>
      <c r="Z113" s="173"/>
    </row>
    <row r="114" spans="10:26" ht="16.5" customHeight="1">
      <c r="J114" s="58"/>
      <c r="W114" s="58"/>
      <c r="X114" s="59"/>
      <c r="Y114" s="173"/>
      <c r="Z114" s="173"/>
    </row>
    <row r="115" spans="10:26" ht="16.5" customHeight="1">
      <c r="J115" s="58"/>
      <c r="W115" s="58"/>
      <c r="X115" s="59"/>
      <c r="Y115" s="173"/>
      <c r="Z115" s="173"/>
    </row>
    <row r="116" spans="10:26" ht="16.5" customHeight="1">
      <c r="J116" s="58"/>
      <c r="W116" s="58"/>
      <c r="X116" s="59"/>
      <c r="Y116" s="173"/>
      <c r="Z116" s="173"/>
    </row>
    <row r="117" spans="10:26" ht="16.5" customHeight="1">
      <c r="J117" s="58"/>
      <c r="W117" s="58"/>
      <c r="X117" s="59"/>
      <c r="Y117" s="173"/>
      <c r="Z117" s="173"/>
    </row>
    <row r="118" spans="10:26" ht="16.5" customHeight="1">
      <c r="J118" s="58"/>
      <c r="W118" s="58"/>
      <c r="X118" s="59"/>
      <c r="Y118" s="173"/>
      <c r="Z118" s="173"/>
    </row>
    <row r="119" spans="10:26" ht="16.5" customHeight="1">
      <c r="J119" s="58"/>
      <c r="W119" s="58"/>
      <c r="X119" s="59"/>
      <c r="Y119" s="173"/>
      <c r="Z119" s="173"/>
    </row>
    <row r="120" spans="10:26" ht="16.5" customHeight="1">
      <c r="J120" s="58"/>
      <c r="W120" s="58"/>
      <c r="X120" s="59"/>
      <c r="Y120" s="173"/>
      <c r="Z120" s="173"/>
    </row>
    <row r="121" spans="10:26" ht="16.5" customHeight="1">
      <c r="J121" s="58"/>
      <c r="W121" s="58"/>
      <c r="X121" s="59"/>
      <c r="Y121" s="173"/>
      <c r="Z121" s="173"/>
    </row>
    <row r="122" spans="10:26" ht="16.5" customHeight="1">
      <c r="J122" s="58"/>
      <c r="W122" s="58"/>
      <c r="X122" s="59"/>
      <c r="Y122" s="173"/>
      <c r="Z122" s="173"/>
    </row>
    <row r="123" spans="10:26" ht="16.5" customHeight="1">
      <c r="J123" s="58"/>
      <c r="W123" s="58"/>
      <c r="X123" s="59"/>
      <c r="Y123" s="173"/>
      <c r="Z123" s="173"/>
    </row>
    <row r="124" spans="10:26" ht="16.5" customHeight="1">
      <c r="J124" s="58"/>
      <c r="W124" s="58"/>
      <c r="X124" s="59"/>
      <c r="Y124" s="173"/>
      <c r="Z124" s="173"/>
    </row>
    <row r="125" spans="10:26" ht="16.5" customHeight="1">
      <c r="J125" s="58"/>
      <c r="W125" s="58"/>
      <c r="X125" s="59"/>
      <c r="Y125" s="173"/>
      <c r="Z125" s="173"/>
    </row>
    <row r="126" spans="10:26" ht="16.5" customHeight="1">
      <c r="J126" s="58"/>
      <c r="W126" s="58"/>
      <c r="X126" s="59"/>
      <c r="Y126" s="173"/>
      <c r="Z126" s="173"/>
    </row>
    <row r="127" spans="10:26" ht="16.5" customHeight="1">
      <c r="J127" s="58"/>
      <c r="W127" s="58"/>
      <c r="X127" s="59"/>
      <c r="Y127" s="173"/>
      <c r="Z127" s="173"/>
    </row>
    <row r="128" spans="10:26" ht="16.5" customHeight="1">
      <c r="J128" s="58"/>
      <c r="W128" s="58"/>
      <c r="X128" s="59"/>
      <c r="Y128" s="173"/>
      <c r="Z128" s="173"/>
    </row>
    <row r="129" spans="10:26" ht="16.5" customHeight="1">
      <c r="J129" s="58"/>
      <c r="W129" s="58"/>
      <c r="X129" s="59"/>
      <c r="Y129" s="173"/>
      <c r="Z129" s="173"/>
    </row>
    <row r="130" spans="10:26" ht="16.5" customHeight="1">
      <c r="J130" s="58"/>
      <c r="W130" s="58"/>
      <c r="X130" s="59"/>
      <c r="Y130" s="173"/>
      <c r="Z130" s="173"/>
    </row>
    <row r="131" spans="10:26" ht="16.5" customHeight="1">
      <c r="J131" s="58"/>
      <c r="W131" s="58"/>
      <c r="X131" s="59"/>
      <c r="Y131" s="173"/>
      <c r="Z131" s="173"/>
    </row>
    <row r="132" spans="10:26" ht="16.5" customHeight="1">
      <c r="J132" s="58"/>
      <c r="W132" s="58"/>
      <c r="X132" s="59"/>
      <c r="Y132" s="173"/>
      <c r="Z132" s="173"/>
    </row>
    <row r="133" spans="10:26" ht="16.5" customHeight="1">
      <c r="J133" s="58"/>
      <c r="W133" s="58"/>
      <c r="X133" s="59"/>
      <c r="Y133" s="173"/>
      <c r="Z133" s="173"/>
    </row>
    <row r="134" spans="10:26" ht="16.5" customHeight="1">
      <c r="J134" s="58"/>
      <c r="W134" s="58"/>
      <c r="X134" s="59"/>
      <c r="Y134" s="173"/>
      <c r="Z134" s="173"/>
    </row>
    <row r="135" spans="10:26" ht="16.5" customHeight="1">
      <c r="J135" s="58"/>
      <c r="W135" s="58"/>
      <c r="X135" s="59"/>
      <c r="Y135" s="173"/>
      <c r="Z135" s="173"/>
    </row>
    <row r="136" spans="10:26" ht="16.5" customHeight="1">
      <c r="J136" s="58"/>
      <c r="W136" s="58"/>
      <c r="X136" s="59"/>
      <c r="Y136" s="173"/>
      <c r="Z136" s="173"/>
    </row>
    <row r="137" spans="10:26" ht="16.5" customHeight="1">
      <c r="J137" s="58"/>
      <c r="W137" s="58"/>
      <c r="X137" s="59"/>
      <c r="Y137" s="173"/>
      <c r="Z137" s="173"/>
    </row>
    <row r="138" spans="10:26" ht="16.5" customHeight="1">
      <c r="J138" s="58"/>
      <c r="W138" s="58"/>
      <c r="X138" s="59"/>
      <c r="Y138" s="173"/>
      <c r="Z138" s="173"/>
    </row>
    <row r="139" spans="10:26" ht="16.5" customHeight="1">
      <c r="J139" s="58"/>
      <c r="W139" s="58"/>
      <c r="X139" s="59"/>
      <c r="Y139" s="173"/>
      <c r="Z139" s="173"/>
    </row>
    <row r="140" spans="10:26" ht="16.5" customHeight="1">
      <c r="J140" s="58"/>
      <c r="W140" s="58"/>
      <c r="X140" s="59"/>
      <c r="Y140" s="173"/>
      <c r="Z140" s="173"/>
    </row>
    <row r="141" spans="10:26" ht="16.5" customHeight="1">
      <c r="J141" s="58"/>
      <c r="W141" s="58"/>
      <c r="X141" s="59"/>
      <c r="Y141" s="173"/>
      <c r="Z141" s="173"/>
    </row>
    <row r="142" spans="10:26" ht="16.5" customHeight="1">
      <c r="J142" s="58"/>
      <c r="W142" s="58"/>
      <c r="X142" s="59"/>
      <c r="Y142" s="173"/>
      <c r="Z142" s="173"/>
    </row>
    <row r="143" spans="10:26" ht="16.5" customHeight="1">
      <c r="J143" s="58"/>
      <c r="W143" s="58"/>
      <c r="X143" s="59"/>
      <c r="Y143" s="173"/>
      <c r="Z143" s="173"/>
    </row>
    <row r="144" spans="10:26" ht="16.5" customHeight="1">
      <c r="J144" s="58"/>
      <c r="W144" s="58"/>
      <c r="X144" s="59"/>
      <c r="Y144" s="173"/>
      <c r="Z144" s="173"/>
    </row>
    <row r="145" spans="10:26" ht="16.5" customHeight="1">
      <c r="J145" s="58"/>
      <c r="W145" s="58"/>
      <c r="X145" s="59"/>
      <c r="Y145" s="173"/>
      <c r="Z145" s="173"/>
    </row>
    <row r="146" spans="10:26" ht="16.5" customHeight="1">
      <c r="J146" s="58"/>
      <c r="W146" s="58"/>
      <c r="X146" s="59"/>
      <c r="Y146" s="173"/>
      <c r="Z146" s="173"/>
    </row>
    <row r="147" spans="10:26" ht="16.5" customHeight="1">
      <c r="J147" s="58"/>
      <c r="W147" s="58"/>
      <c r="X147" s="59"/>
      <c r="Y147" s="173"/>
      <c r="Z147" s="173"/>
    </row>
    <row r="148" spans="10:26" ht="16.5" customHeight="1">
      <c r="J148" s="58"/>
      <c r="W148" s="58"/>
      <c r="X148" s="59"/>
      <c r="Y148" s="173"/>
      <c r="Z148" s="173"/>
    </row>
    <row r="149" spans="10:26" ht="16.5" customHeight="1">
      <c r="J149" s="58"/>
      <c r="W149" s="58"/>
      <c r="X149" s="59"/>
      <c r="Y149" s="173"/>
      <c r="Z149" s="173"/>
    </row>
    <row r="150" spans="10:26" ht="16.5" customHeight="1">
      <c r="J150" s="58"/>
      <c r="W150" s="58"/>
      <c r="X150" s="59"/>
      <c r="Y150" s="173"/>
      <c r="Z150" s="173"/>
    </row>
    <row r="151" spans="10:26" ht="16.5" customHeight="1">
      <c r="J151" s="58"/>
      <c r="W151" s="58"/>
      <c r="X151" s="59"/>
      <c r="Y151" s="173"/>
      <c r="Z151" s="173"/>
    </row>
    <row r="152" spans="10:26" ht="16.5" customHeight="1">
      <c r="J152" s="58"/>
      <c r="W152" s="58"/>
      <c r="X152" s="59"/>
      <c r="Y152" s="173"/>
      <c r="Z152" s="173"/>
    </row>
    <row r="153" spans="10:26" ht="16.5" customHeight="1">
      <c r="J153" s="58"/>
      <c r="W153" s="58"/>
      <c r="X153" s="59"/>
      <c r="Y153" s="173"/>
      <c r="Z153" s="173"/>
    </row>
    <row r="154" spans="10:26" ht="16.5" customHeight="1">
      <c r="J154" s="58"/>
      <c r="W154" s="58"/>
      <c r="X154" s="59"/>
      <c r="Y154" s="173"/>
      <c r="Z154" s="173"/>
    </row>
    <row r="155" spans="10:26" ht="16.5" customHeight="1">
      <c r="J155" s="58"/>
      <c r="W155" s="58"/>
      <c r="X155" s="59"/>
      <c r="Y155" s="173"/>
      <c r="Z155" s="173"/>
    </row>
    <row r="156" spans="10:26" ht="16.5" customHeight="1">
      <c r="J156" s="58"/>
      <c r="W156" s="58"/>
      <c r="X156" s="59"/>
      <c r="Y156" s="173"/>
      <c r="Z156" s="173"/>
    </row>
    <row r="157" spans="10:26" ht="16.5" customHeight="1">
      <c r="J157" s="58"/>
      <c r="W157" s="58"/>
      <c r="X157" s="59"/>
      <c r="Y157" s="173"/>
      <c r="Z157" s="173"/>
    </row>
    <row r="158" spans="10:26" ht="16.5" customHeight="1">
      <c r="J158" s="58"/>
      <c r="W158" s="58"/>
      <c r="X158" s="59"/>
      <c r="Y158" s="173"/>
      <c r="Z158" s="173"/>
    </row>
    <row r="159" spans="10:26" ht="16.5" customHeight="1">
      <c r="J159" s="58"/>
      <c r="W159" s="58"/>
      <c r="X159" s="59"/>
      <c r="Y159" s="173"/>
      <c r="Z159" s="173"/>
    </row>
    <row r="160" spans="10:26" ht="16.5" customHeight="1">
      <c r="J160" s="58"/>
      <c r="W160" s="58"/>
      <c r="X160" s="59"/>
      <c r="Y160" s="173"/>
      <c r="Z160" s="173"/>
    </row>
    <row r="161" spans="10:26" ht="16.5" customHeight="1">
      <c r="J161" s="58"/>
      <c r="W161" s="58"/>
      <c r="X161" s="59"/>
      <c r="Y161" s="173"/>
      <c r="Z161" s="173"/>
    </row>
    <row r="162" spans="10:26" ht="16.5" customHeight="1">
      <c r="J162" s="58"/>
      <c r="W162" s="58"/>
      <c r="X162" s="59"/>
      <c r="Y162" s="173"/>
      <c r="Z162" s="173"/>
    </row>
    <row r="163" spans="10:26" ht="16.5" customHeight="1">
      <c r="J163" s="58"/>
      <c r="W163" s="58"/>
      <c r="X163" s="59"/>
      <c r="Y163" s="173"/>
      <c r="Z163" s="173"/>
    </row>
    <row r="164" spans="10:26" ht="16.5" customHeight="1">
      <c r="J164" s="58"/>
      <c r="W164" s="58"/>
      <c r="X164" s="59"/>
      <c r="Y164" s="173"/>
      <c r="Z164" s="173"/>
    </row>
    <row r="165" spans="10:26" ht="16.5" customHeight="1">
      <c r="J165" s="58"/>
      <c r="W165" s="58"/>
      <c r="X165" s="59"/>
      <c r="Y165" s="173"/>
      <c r="Z165" s="173"/>
    </row>
    <row r="166" spans="10:26" ht="16.5" customHeight="1">
      <c r="J166" s="58"/>
      <c r="W166" s="58"/>
      <c r="X166" s="59"/>
      <c r="Y166" s="173"/>
      <c r="Z166" s="173"/>
    </row>
    <row r="167" spans="10:26" ht="16.5" customHeight="1">
      <c r="J167" s="58"/>
      <c r="W167" s="58"/>
      <c r="X167" s="59"/>
      <c r="Y167" s="173"/>
      <c r="Z167" s="173"/>
    </row>
    <row r="168" spans="10:26" ht="16.5" customHeight="1">
      <c r="J168" s="58"/>
      <c r="W168" s="58"/>
      <c r="X168" s="59"/>
      <c r="Y168" s="173"/>
      <c r="Z168" s="173"/>
    </row>
    <row r="169" spans="10:26" ht="16.5" customHeight="1">
      <c r="J169" s="58"/>
      <c r="W169" s="58"/>
      <c r="X169" s="59"/>
      <c r="Y169" s="173"/>
      <c r="Z169" s="173"/>
    </row>
    <row r="170" spans="10:26" ht="16.5" customHeight="1">
      <c r="J170" s="58"/>
      <c r="W170" s="58"/>
      <c r="X170" s="59"/>
      <c r="Y170" s="173"/>
      <c r="Z170" s="173"/>
    </row>
    <row r="171" spans="10:26" ht="16.5" customHeight="1">
      <c r="J171" s="58"/>
      <c r="W171" s="58"/>
      <c r="X171" s="59"/>
      <c r="Y171" s="173"/>
      <c r="Z171" s="173"/>
    </row>
    <row r="172" spans="10:26" ht="16.5" customHeight="1">
      <c r="J172" s="58"/>
      <c r="W172" s="58"/>
      <c r="X172" s="59"/>
      <c r="Y172" s="173"/>
      <c r="Z172" s="173"/>
    </row>
    <row r="173" spans="10:26" ht="16.5" customHeight="1">
      <c r="J173" s="58"/>
      <c r="W173" s="58"/>
      <c r="X173" s="59"/>
      <c r="Y173" s="173"/>
      <c r="Z173" s="173"/>
    </row>
    <row r="174" spans="10:26" ht="16.5" customHeight="1">
      <c r="J174" s="58"/>
      <c r="W174" s="58"/>
      <c r="X174" s="59"/>
      <c r="Y174" s="173"/>
      <c r="Z174" s="173"/>
    </row>
    <row r="175" spans="10:26" ht="16.5" customHeight="1">
      <c r="J175" s="58"/>
      <c r="W175" s="58"/>
      <c r="X175" s="59"/>
      <c r="Y175" s="173"/>
      <c r="Z175" s="173"/>
    </row>
    <row r="176" spans="10:26" ht="16.5" customHeight="1">
      <c r="J176" s="58"/>
      <c r="W176" s="58"/>
      <c r="X176" s="59"/>
      <c r="Y176" s="173"/>
      <c r="Z176" s="173"/>
    </row>
    <row r="177" spans="10:26" ht="16.5" customHeight="1">
      <c r="J177" s="58"/>
      <c r="W177" s="58"/>
      <c r="X177" s="59"/>
      <c r="Y177" s="173"/>
      <c r="Z177" s="173"/>
    </row>
    <row r="178" spans="10:26" ht="16.5" customHeight="1">
      <c r="J178" s="58"/>
      <c r="W178" s="58"/>
      <c r="X178" s="59"/>
      <c r="Y178" s="173"/>
      <c r="Z178" s="173"/>
    </row>
    <row r="179" spans="10:26" ht="16.5" customHeight="1">
      <c r="J179" s="58"/>
      <c r="W179" s="58"/>
      <c r="X179" s="59"/>
      <c r="Y179" s="173"/>
      <c r="Z179" s="173"/>
    </row>
    <row r="180" spans="10:26" ht="16.5" customHeight="1">
      <c r="J180" s="58"/>
      <c r="W180" s="58"/>
      <c r="X180" s="59"/>
      <c r="Y180" s="173"/>
      <c r="Z180" s="173"/>
    </row>
    <row r="181" spans="10:26" ht="16.5" customHeight="1">
      <c r="J181" s="58"/>
      <c r="W181" s="58"/>
      <c r="X181" s="59"/>
      <c r="Y181" s="173"/>
      <c r="Z181" s="173"/>
    </row>
    <row r="182" spans="10:26" ht="16.5" customHeight="1">
      <c r="J182" s="58"/>
      <c r="W182" s="58"/>
      <c r="X182" s="59"/>
      <c r="Y182" s="173"/>
      <c r="Z182" s="173"/>
    </row>
    <row r="183" spans="10:26" ht="16.5" customHeight="1">
      <c r="J183" s="58"/>
      <c r="W183" s="58"/>
      <c r="X183" s="59"/>
      <c r="Y183" s="173"/>
      <c r="Z183" s="173"/>
    </row>
    <row r="184" spans="10:26" ht="16.5" customHeight="1">
      <c r="J184" s="58"/>
      <c r="W184" s="58"/>
      <c r="X184" s="59"/>
      <c r="Y184" s="173"/>
      <c r="Z184" s="173"/>
    </row>
    <row r="185" spans="10:26" ht="16.5" customHeight="1">
      <c r="J185" s="58"/>
      <c r="W185" s="58"/>
      <c r="X185" s="59"/>
      <c r="Y185" s="173"/>
      <c r="Z185" s="173"/>
    </row>
    <row r="186" spans="10:26" ht="16.5" customHeight="1">
      <c r="J186" s="58"/>
      <c r="W186" s="58"/>
      <c r="X186" s="59"/>
      <c r="Y186" s="173"/>
      <c r="Z186" s="173"/>
    </row>
    <row r="187" spans="10:26" ht="16.5" customHeight="1">
      <c r="J187" s="58"/>
      <c r="W187" s="58"/>
      <c r="X187" s="59"/>
      <c r="Y187" s="173"/>
      <c r="Z187" s="173"/>
    </row>
    <row r="188" spans="10:26" ht="16.5" customHeight="1">
      <c r="J188" s="58"/>
      <c r="W188" s="58"/>
      <c r="X188" s="59"/>
      <c r="Y188" s="173"/>
      <c r="Z188" s="173"/>
    </row>
    <row r="189" spans="10:26" ht="16.5" customHeight="1">
      <c r="J189" s="58"/>
      <c r="W189" s="58"/>
      <c r="X189" s="59"/>
      <c r="Y189" s="173"/>
      <c r="Z189" s="173"/>
    </row>
    <row r="190" spans="10:26" ht="16.5" customHeight="1">
      <c r="J190" s="58"/>
      <c r="W190" s="58"/>
      <c r="X190" s="59"/>
      <c r="Y190" s="173"/>
      <c r="Z190" s="173"/>
    </row>
    <row r="191" spans="10:26" ht="16.5" customHeight="1">
      <c r="J191" s="58"/>
      <c r="W191" s="58"/>
      <c r="X191" s="59"/>
      <c r="Y191" s="173"/>
      <c r="Z191" s="173"/>
    </row>
    <row r="192" spans="10:26" ht="16.5" customHeight="1">
      <c r="J192" s="58"/>
      <c r="W192" s="58"/>
      <c r="X192" s="59"/>
      <c r="Y192" s="173"/>
      <c r="Z192" s="173"/>
    </row>
    <row r="193" spans="10:26" ht="16.5" customHeight="1">
      <c r="J193" s="58"/>
      <c r="W193" s="58"/>
      <c r="X193" s="59"/>
      <c r="Y193" s="173"/>
      <c r="Z193" s="173"/>
    </row>
    <row r="194" spans="10:26" ht="16.5" customHeight="1">
      <c r="J194" s="58"/>
      <c r="W194" s="58"/>
      <c r="X194" s="59"/>
      <c r="Y194" s="173"/>
      <c r="Z194" s="173"/>
    </row>
    <row r="195" spans="10:26" ht="16.5" customHeight="1">
      <c r="J195" s="58"/>
      <c r="W195" s="58"/>
      <c r="X195" s="59"/>
      <c r="Y195" s="173"/>
      <c r="Z195" s="173"/>
    </row>
    <row r="196" spans="10:26" ht="16.5" customHeight="1">
      <c r="J196" s="58"/>
      <c r="W196" s="58"/>
      <c r="X196" s="59"/>
      <c r="Y196" s="173"/>
      <c r="Z196" s="173"/>
    </row>
    <row r="197" spans="10:26" ht="16.5" customHeight="1">
      <c r="J197" s="58"/>
      <c r="W197" s="58"/>
      <c r="X197" s="59"/>
      <c r="Y197" s="173"/>
      <c r="Z197" s="173"/>
    </row>
    <row r="198" spans="10:26" ht="16.5" customHeight="1">
      <c r="J198" s="58"/>
      <c r="W198" s="58"/>
      <c r="X198" s="59"/>
      <c r="Y198" s="173"/>
      <c r="Z198" s="173"/>
    </row>
    <row r="199" spans="10:26" ht="16.5" customHeight="1">
      <c r="J199" s="58"/>
      <c r="W199" s="58"/>
      <c r="X199" s="59"/>
      <c r="Y199" s="173"/>
      <c r="Z199" s="173"/>
    </row>
    <row r="200" spans="10:26" ht="16.5" customHeight="1">
      <c r="J200" s="58"/>
      <c r="W200" s="58"/>
      <c r="X200" s="59"/>
      <c r="Y200" s="173"/>
      <c r="Z200" s="173"/>
    </row>
    <row r="201" spans="10:26" ht="16.5" customHeight="1">
      <c r="J201" s="58"/>
      <c r="W201" s="58"/>
      <c r="X201" s="59"/>
      <c r="Y201" s="173"/>
      <c r="Z201" s="173"/>
    </row>
    <row r="202" spans="10:26" ht="16.5" customHeight="1">
      <c r="J202" s="58"/>
      <c r="W202" s="58"/>
      <c r="X202" s="59"/>
      <c r="Y202" s="173"/>
      <c r="Z202" s="173"/>
    </row>
    <row r="203" spans="10:26" ht="16.5" customHeight="1">
      <c r="J203" s="58"/>
      <c r="W203" s="58"/>
      <c r="X203" s="59"/>
      <c r="Y203" s="173"/>
      <c r="Z203" s="173"/>
    </row>
    <row r="204" spans="10:26" ht="16.5" customHeight="1">
      <c r="J204" s="58"/>
      <c r="W204" s="58"/>
      <c r="X204" s="59"/>
      <c r="Y204" s="173"/>
      <c r="Z204" s="173"/>
    </row>
    <row r="205" spans="10:26" ht="16.5" customHeight="1">
      <c r="J205" s="58"/>
      <c r="W205" s="58"/>
      <c r="X205" s="59"/>
      <c r="Y205" s="173"/>
      <c r="Z205" s="173"/>
    </row>
    <row r="206" spans="10:26" ht="16.5" customHeight="1">
      <c r="J206" s="58"/>
      <c r="W206" s="58"/>
      <c r="X206" s="59"/>
      <c r="Y206" s="173"/>
      <c r="Z206" s="173"/>
    </row>
    <row r="207" spans="10:26" ht="16.5" customHeight="1">
      <c r="J207" s="58"/>
      <c r="W207" s="58"/>
      <c r="X207" s="59"/>
      <c r="Y207" s="173"/>
      <c r="Z207" s="173"/>
    </row>
    <row r="208" spans="10:26" ht="16.5" customHeight="1">
      <c r="J208" s="58"/>
      <c r="W208" s="58"/>
      <c r="X208" s="59"/>
      <c r="Y208" s="173"/>
      <c r="Z208" s="173"/>
    </row>
    <row r="209" spans="10:26" ht="16.5" customHeight="1">
      <c r="J209" s="58"/>
      <c r="W209" s="58"/>
      <c r="X209" s="59"/>
      <c r="Y209" s="173"/>
      <c r="Z209" s="173"/>
    </row>
    <row r="210" spans="10:26" ht="16.5" customHeight="1">
      <c r="J210" s="58"/>
      <c r="W210" s="58"/>
      <c r="X210" s="59"/>
      <c r="Y210" s="173"/>
      <c r="Z210" s="173"/>
    </row>
    <row r="211" spans="10:26" ht="16.5" customHeight="1">
      <c r="J211" s="58"/>
      <c r="W211" s="58"/>
      <c r="X211" s="59"/>
      <c r="Y211" s="173"/>
      <c r="Z211" s="173"/>
    </row>
    <row r="212" spans="10:26" ht="16.5" customHeight="1">
      <c r="J212" s="58"/>
      <c r="W212" s="58"/>
      <c r="X212" s="59"/>
      <c r="Y212" s="173"/>
      <c r="Z212" s="173"/>
    </row>
    <row r="213" spans="10:26" ht="16.5" customHeight="1">
      <c r="J213" s="58"/>
      <c r="W213" s="58"/>
      <c r="X213" s="59"/>
      <c r="Y213" s="173"/>
      <c r="Z213" s="173"/>
    </row>
    <row r="214" spans="10:26" ht="16.5" customHeight="1">
      <c r="J214" s="58"/>
      <c r="W214" s="58"/>
      <c r="X214" s="59"/>
      <c r="Y214" s="173"/>
      <c r="Z214" s="173"/>
    </row>
    <row r="215" spans="10:26" ht="16.5" customHeight="1">
      <c r="J215" s="58"/>
      <c r="W215" s="58"/>
      <c r="X215" s="59"/>
      <c r="Y215" s="173"/>
      <c r="Z215" s="173"/>
    </row>
    <row r="216" spans="10:26" ht="16.5" customHeight="1">
      <c r="J216" s="58"/>
      <c r="W216" s="58"/>
      <c r="X216" s="59"/>
      <c r="Y216" s="173"/>
      <c r="Z216" s="173"/>
    </row>
    <row r="217" spans="10:26" ht="16.5" customHeight="1">
      <c r="J217" s="58"/>
      <c r="W217" s="58"/>
      <c r="X217" s="59"/>
      <c r="Y217" s="173"/>
      <c r="Z217" s="173"/>
    </row>
    <row r="218" spans="10:26" ht="16.5" customHeight="1">
      <c r="J218" s="58"/>
      <c r="W218" s="58"/>
      <c r="X218" s="59"/>
      <c r="Y218" s="173"/>
      <c r="Z218" s="173"/>
    </row>
    <row r="219" spans="10:26" ht="16.5" customHeight="1">
      <c r="J219" s="58"/>
      <c r="W219" s="58"/>
      <c r="X219" s="59"/>
      <c r="Y219" s="173"/>
      <c r="Z219" s="173"/>
    </row>
    <row r="220" spans="10:26" ht="16.5" customHeight="1">
      <c r="J220" s="58"/>
      <c r="W220" s="58"/>
      <c r="X220" s="59"/>
      <c r="Y220" s="173"/>
      <c r="Z220" s="173"/>
    </row>
    <row r="221" spans="10:26" ht="16.5" customHeight="1">
      <c r="J221" s="58"/>
      <c r="W221" s="58"/>
      <c r="X221" s="59"/>
      <c r="Y221" s="173"/>
      <c r="Z221" s="173"/>
    </row>
    <row r="222" spans="10:26" ht="16.5" customHeight="1">
      <c r="J222" s="58"/>
      <c r="W222" s="58"/>
      <c r="X222" s="59"/>
      <c r="Y222" s="173"/>
      <c r="Z222" s="173"/>
    </row>
    <row r="223" spans="10:26" ht="16.5" customHeight="1">
      <c r="J223" s="58"/>
      <c r="W223" s="58"/>
      <c r="X223" s="59"/>
      <c r="Y223" s="173"/>
      <c r="Z223" s="173"/>
    </row>
    <row r="224" spans="10:26" ht="16.5" customHeight="1">
      <c r="J224" s="58"/>
      <c r="W224" s="58"/>
      <c r="X224" s="59"/>
      <c r="Y224" s="173"/>
      <c r="Z224" s="173"/>
    </row>
    <row r="225" spans="10:26" ht="16.5" customHeight="1">
      <c r="J225" s="58"/>
      <c r="W225" s="58"/>
      <c r="X225" s="59"/>
      <c r="Y225" s="173"/>
      <c r="Z225" s="173"/>
    </row>
    <row r="226" spans="10:26" ht="16.5" customHeight="1">
      <c r="J226" s="58"/>
      <c r="W226" s="58"/>
      <c r="X226" s="59"/>
      <c r="Y226" s="173"/>
      <c r="Z226" s="173"/>
    </row>
    <row r="227" spans="10:26" ht="16.5" customHeight="1">
      <c r="J227" s="58"/>
      <c r="W227" s="58"/>
      <c r="X227" s="59"/>
      <c r="Y227" s="173"/>
      <c r="Z227" s="173"/>
    </row>
    <row r="228" spans="10:26" ht="16.5" customHeight="1">
      <c r="J228" s="58"/>
      <c r="W228" s="58"/>
      <c r="X228" s="59"/>
      <c r="Y228" s="173"/>
      <c r="Z228" s="173"/>
    </row>
    <row r="229" spans="10:26" ht="16.5" customHeight="1">
      <c r="J229" s="58"/>
      <c r="W229" s="58"/>
      <c r="X229" s="59"/>
      <c r="Y229" s="173"/>
      <c r="Z229" s="173"/>
    </row>
    <row r="230" spans="10:26" ht="16.5" customHeight="1">
      <c r="J230" s="58"/>
      <c r="W230" s="58"/>
      <c r="X230" s="59"/>
      <c r="Y230" s="173"/>
      <c r="Z230" s="173"/>
    </row>
    <row r="231" spans="10:26" ht="16.5" customHeight="1">
      <c r="J231" s="58"/>
      <c r="W231" s="58"/>
      <c r="X231" s="59"/>
      <c r="Y231" s="173"/>
      <c r="Z231" s="173"/>
    </row>
    <row r="232" spans="10:26" ht="16.5" customHeight="1">
      <c r="J232" s="58"/>
      <c r="W232" s="58"/>
      <c r="X232" s="59"/>
      <c r="Y232" s="173"/>
      <c r="Z232" s="173"/>
    </row>
    <row r="233" spans="10:26" ht="16.5" customHeight="1">
      <c r="J233" s="58"/>
      <c r="W233" s="58"/>
      <c r="X233" s="59"/>
      <c r="Y233" s="173"/>
      <c r="Z233" s="173"/>
    </row>
    <row r="234" spans="10:26" ht="16.5" customHeight="1">
      <c r="J234" s="58"/>
      <c r="W234" s="58"/>
      <c r="X234" s="59"/>
      <c r="Y234" s="173"/>
      <c r="Z234" s="173"/>
    </row>
    <row r="235" spans="10:26" ht="16.5" customHeight="1">
      <c r="J235" s="58"/>
      <c r="W235" s="58"/>
      <c r="X235" s="59"/>
      <c r="Y235" s="173"/>
      <c r="Z235" s="173"/>
    </row>
    <row r="236" spans="10:26" ht="16.5" customHeight="1">
      <c r="J236" s="58"/>
      <c r="W236" s="58"/>
      <c r="X236" s="59"/>
      <c r="Y236" s="173"/>
      <c r="Z236" s="173"/>
    </row>
    <row r="237" spans="10:26" ht="16.5" customHeight="1">
      <c r="J237" s="58"/>
      <c r="W237" s="58"/>
      <c r="X237" s="59"/>
      <c r="Y237" s="173"/>
      <c r="Z237" s="173"/>
    </row>
    <row r="238" spans="10:26" ht="16.5" customHeight="1">
      <c r="J238" s="58"/>
      <c r="W238" s="58"/>
      <c r="X238" s="59"/>
      <c r="Y238" s="173"/>
      <c r="Z238" s="173"/>
    </row>
    <row r="239" spans="10:26" ht="16.5" customHeight="1">
      <c r="J239" s="58"/>
      <c r="W239" s="58"/>
      <c r="X239" s="59"/>
      <c r="Y239" s="173"/>
      <c r="Z239" s="173"/>
    </row>
    <row r="240" spans="10:26" ht="16.5" customHeight="1">
      <c r="J240" s="58"/>
      <c r="W240" s="58"/>
      <c r="X240" s="59"/>
      <c r="Y240" s="173"/>
      <c r="Z240" s="173"/>
    </row>
    <row r="241" spans="10:26" ht="16.5" customHeight="1">
      <c r="J241" s="58"/>
      <c r="W241" s="58"/>
      <c r="X241" s="59"/>
      <c r="Y241" s="173"/>
      <c r="Z241" s="173"/>
    </row>
    <row r="242" spans="10:26" ht="16.5" customHeight="1">
      <c r="J242" s="58"/>
      <c r="W242" s="58"/>
      <c r="X242" s="59"/>
      <c r="Y242" s="173"/>
      <c r="Z242" s="173"/>
    </row>
    <row r="243" spans="10:26" ht="16.5" customHeight="1">
      <c r="J243" s="58"/>
      <c r="W243" s="58"/>
      <c r="X243" s="59"/>
      <c r="Y243" s="173"/>
      <c r="Z243" s="173"/>
    </row>
    <row r="244" spans="10:26" ht="16.5" customHeight="1">
      <c r="J244" s="58"/>
      <c r="W244" s="58"/>
      <c r="X244" s="59"/>
      <c r="Y244" s="173"/>
      <c r="Z244" s="173"/>
    </row>
    <row r="245" spans="10:26" ht="16.5" customHeight="1">
      <c r="J245" s="58"/>
      <c r="W245" s="58"/>
      <c r="X245" s="59"/>
      <c r="Y245" s="173"/>
      <c r="Z245" s="173"/>
    </row>
    <row r="246" spans="10:26" ht="16.5" customHeight="1">
      <c r="J246" s="58"/>
      <c r="W246" s="58"/>
      <c r="X246" s="59"/>
      <c r="Y246" s="173"/>
      <c r="Z246" s="173"/>
    </row>
    <row r="247" spans="10:26" ht="16.5" customHeight="1">
      <c r="J247" s="58"/>
      <c r="W247" s="58"/>
      <c r="X247" s="59"/>
      <c r="Y247" s="173"/>
      <c r="Z247" s="173"/>
    </row>
    <row r="248" spans="10:26" ht="16.5" customHeight="1">
      <c r="J248" s="58"/>
      <c r="W248" s="58"/>
      <c r="X248" s="59"/>
      <c r="Y248" s="173"/>
      <c r="Z248" s="173"/>
    </row>
    <row r="249" spans="10:26" ht="16.5" customHeight="1">
      <c r="J249" s="58"/>
      <c r="W249" s="58"/>
      <c r="X249" s="59"/>
      <c r="Y249" s="173"/>
      <c r="Z249" s="173"/>
    </row>
    <row r="250" spans="10:26" ht="16.5" customHeight="1">
      <c r="J250" s="58"/>
      <c r="W250" s="58"/>
      <c r="X250" s="59"/>
      <c r="Y250" s="173"/>
      <c r="Z250" s="173"/>
    </row>
    <row r="251" spans="10:26" ht="16.5" customHeight="1">
      <c r="J251" s="58"/>
      <c r="W251" s="58"/>
      <c r="X251" s="59"/>
      <c r="Y251" s="173"/>
      <c r="Z251" s="173"/>
    </row>
    <row r="252" spans="10:26" ht="16.5" customHeight="1">
      <c r="J252" s="58"/>
      <c r="W252" s="58"/>
      <c r="X252" s="59"/>
      <c r="Y252" s="173"/>
      <c r="Z252" s="173"/>
    </row>
    <row r="253" spans="10:26" ht="16.5" customHeight="1">
      <c r="J253" s="58"/>
      <c r="W253" s="58"/>
      <c r="X253" s="59"/>
      <c r="Y253" s="173"/>
      <c r="Z253" s="173"/>
    </row>
    <row r="254" spans="10:26" ht="16.5" customHeight="1">
      <c r="J254" s="58"/>
      <c r="W254" s="58"/>
      <c r="X254" s="59"/>
      <c r="Y254" s="173"/>
      <c r="Z254" s="173"/>
    </row>
    <row r="255" spans="10:26" ht="16.5" customHeight="1">
      <c r="J255" s="58"/>
      <c r="W255" s="58"/>
      <c r="X255" s="59"/>
      <c r="Y255" s="173"/>
      <c r="Z255" s="173"/>
    </row>
    <row r="256" spans="10:26" ht="16.5" customHeight="1">
      <c r="J256" s="58"/>
      <c r="W256" s="58"/>
      <c r="X256" s="59"/>
      <c r="Y256" s="173"/>
      <c r="Z256" s="173"/>
    </row>
    <row r="257" spans="10:26" ht="16.5" customHeight="1">
      <c r="J257" s="58"/>
      <c r="W257" s="58"/>
      <c r="X257" s="59"/>
      <c r="Y257" s="173"/>
      <c r="Z257" s="173"/>
    </row>
    <row r="258" spans="10:26" ht="16.5" customHeight="1">
      <c r="J258" s="58"/>
      <c r="W258" s="58"/>
      <c r="X258" s="59"/>
      <c r="Y258" s="173"/>
      <c r="Z258" s="173"/>
    </row>
    <row r="259" spans="10:26" ht="16.5" customHeight="1">
      <c r="J259" s="58"/>
      <c r="W259" s="58"/>
      <c r="X259" s="59"/>
      <c r="Y259" s="173"/>
      <c r="Z259" s="173"/>
    </row>
    <row r="260" spans="10:26" ht="16.5" customHeight="1">
      <c r="J260" s="58"/>
      <c r="W260" s="58"/>
      <c r="X260" s="59"/>
      <c r="Y260" s="173"/>
      <c r="Z260" s="173"/>
    </row>
    <row r="261" spans="10:26" ht="16.5" customHeight="1">
      <c r="J261" s="58"/>
      <c r="W261" s="58"/>
      <c r="X261" s="59"/>
      <c r="Y261" s="173"/>
      <c r="Z261" s="173"/>
    </row>
    <row r="262" spans="10:26" ht="16.5" customHeight="1">
      <c r="J262" s="58"/>
      <c r="W262" s="58"/>
      <c r="X262" s="59"/>
      <c r="Y262" s="173"/>
      <c r="Z262" s="173"/>
    </row>
    <row r="263" spans="10:26" ht="16.5" customHeight="1">
      <c r="J263" s="58"/>
      <c r="W263" s="58"/>
      <c r="X263" s="59"/>
      <c r="Y263" s="173"/>
      <c r="Z263" s="173"/>
    </row>
    <row r="264" spans="10:26" ht="16.5" customHeight="1">
      <c r="J264" s="58"/>
      <c r="W264" s="58"/>
      <c r="X264" s="59"/>
      <c r="Y264" s="173"/>
      <c r="Z264" s="173"/>
    </row>
    <row r="265" spans="10:26" ht="16.5" customHeight="1">
      <c r="J265" s="58"/>
      <c r="W265" s="58"/>
      <c r="X265" s="59"/>
      <c r="Y265" s="173"/>
      <c r="Z265" s="173"/>
    </row>
    <row r="266" spans="10:26" ht="16.5" customHeight="1">
      <c r="J266" s="58"/>
      <c r="W266" s="58"/>
      <c r="X266" s="59"/>
      <c r="Y266" s="173"/>
      <c r="Z266" s="173"/>
    </row>
    <row r="267" spans="10:26" ht="16.5" customHeight="1">
      <c r="J267" s="58"/>
      <c r="W267" s="58"/>
      <c r="X267" s="59"/>
      <c r="Y267" s="173"/>
      <c r="Z267" s="173"/>
    </row>
    <row r="268" spans="10:26" ht="16.5" customHeight="1">
      <c r="J268" s="58"/>
      <c r="W268" s="58"/>
      <c r="X268" s="59"/>
      <c r="Y268" s="173"/>
      <c r="Z268" s="173"/>
    </row>
    <row r="269" spans="10:26" ht="16.5" customHeight="1">
      <c r="J269" s="58"/>
      <c r="W269" s="58"/>
      <c r="X269" s="59"/>
      <c r="Y269" s="173"/>
      <c r="Z269" s="173"/>
    </row>
    <row r="270" spans="10:26" ht="16.5" customHeight="1">
      <c r="J270" s="58"/>
      <c r="W270" s="58"/>
      <c r="X270" s="59"/>
      <c r="Y270" s="173"/>
      <c r="Z270" s="173"/>
    </row>
    <row r="271" spans="10:26" ht="16.5" customHeight="1">
      <c r="J271" s="58"/>
      <c r="W271" s="58"/>
      <c r="X271" s="59"/>
      <c r="Y271" s="173"/>
      <c r="Z271" s="173"/>
    </row>
    <row r="272" spans="10:26" ht="16.5" customHeight="1">
      <c r="J272" s="58"/>
      <c r="W272" s="58"/>
      <c r="X272" s="59"/>
      <c r="Y272" s="173"/>
      <c r="Z272" s="173"/>
    </row>
    <row r="273" spans="10:26" ht="16.5" customHeight="1">
      <c r="J273" s="58"/>
      <c r="W273" s="58"/>
      <c r="X273" s="59"/>
      <c r="Y273" s="173"/>
      <c r="Z273" s="173"/>
    </row>
    <row r="274" spans="10:26" ht="16.5" customHeight="1">
      <c r="J274" s="58"/>
      <c r="W274" s="58"/>
      <c r="X274" s="59"/>
      <c r="Y274" s="173"/>
      <c r="Z274" s="173"/>
    </row>
    <row r="275" spans="10:26" ht="16.5" customHeight="1">
      <c r="J275" s="58"/>
      <c r="W275" s="58"/>
      <c r="X275" s="59"/>
      <c r="Y275" s="173"/>
      <c r="Z275" s="173"/>
    </row>
    <row r="276" spans="10:26" ht="16.5" customHeight="1">
      <c r="J276" s="58"/>
      <c r="W276" s="58"/>
      <c r="X276" s="59"/>
      <c r="Y276" s="173"/>
      <c r="Z276" s="173"/>
    </row>
    <row r="277" spans="10:26" ht="16.5" customHeight="1">
      <c r="J277" s="58"/>
      <c r="W277" s="58"/>
      <c r="X277" s="59"/>
      <c r="Y277" s="173"/>
      <c r="Z277" s="173"/>
    </row>
    <row r="278" spans="10:26" ht="16.5" customHeight="1">
      <c r="J278" s="58"/>
      <c r="W278" s="58"/>
      <c r="X278" s="59"/>
      <c r="Y278" s="173"/>
      <c r="Z278" s="173"/>
    </row>
    <row r="279" spans="10:26" ht="16.5" customHeight="1">
      <c r="J279" s="58"/>
      <c r="W279" s="58"/>
      <c r="X279" s="59"/>
      <c r="Y279" s="173"/>
      <c r="Z279" s="173"/>
    </row>
    <row r="280" spans="10:26" ht="16.5" customHeight="1">
      <c r="J280" s="58"/>
      <c r="W280" s="58"/>
      <c r="X280" s="59"/>
      <c r="Y280" s="173"/>
      <c r="Z280" s="173"/>
    </row>
    <row r="281" spans="10:26" ht="16.5" customHeight="1">
      <c r="J281" s="58"/>
      <c r="W281" s="58"/>
      <c r="X281" s="59"/>
      <c r="Y281" s="173"/>
      <c r="Z281" s="173"/>
    </row>
    <row r="282" spans="10:26" ht="16.5" customHeight="1">
      <c r="J282" s="58"/>
      <c r="W282" s="58"/>
      <c r="X282" s="59"/>
      <c r="Y282" s="173"/>
      <c r="Z282" s="173"/>
    </row>
    <row r="283" spans="10:26" ht="16.5" customHeight="1">
      <c r="J283" s="58"/>
      <c r="W283" s="58"/>
      <c r="X283" s="59"/>
      <c r="Y283" s="173"/>
      <c r="Z283" s="173"/>
    </row>
    <row r="284" spans="10:26" ht="16.5" customHeight="1">
      <c r="J284" s="58"/>
      <c r="W284" s="58"/>
      <c r="X284" s="59"/>
      <c r="Y284" s="173"/>
      <c r="Z284" s="173"/>
    </row>
    <row r="285" spans="10:26" ht="16.5" customHeight="1">
      <c r="J285" s="58"/>
      <c r="W285" s="58"/>
      <c r="X285" s="59"/>
      <c r="Y285" s="173"/>
      <c r="Z285" s="173"/>
    </row>
    <row r="286" spans="10:26" ht="16.5" customHeight="1">
      <c r="J286" s="58"/>
      <c r="W286" s="58"/>
      <c r="X286" s="59"/>
      <c r="Y286" s="173"/>
      <c r="Z286" s="173"/>
    </row>
    <row r="287" spans="10:26" ht="16.5" customHeight="1">
      <c r="J287" s="58"/>
      <c r="W287" s="58"/>
      <c r="X287" s="59"/>
      <c r="Y287" s="173"/>
      <c r="Z287" s="173"/>
    </row>
    <row r="288" spans="10:26" ht="16.5" customHeight="1">
      <c r="J288" s="58"/>
      <c r="W288" s="58"/>
      <c r="X288" s="59"/>
      <c r="Y288" s="173"/>
      <c r="Z288" s="173"/>
    </row>
    <row r="289" spans="10:26" ht="16.5" customHeight="1">
      <c r="J289" s="58"/>
      <c r="W289" s="58"/>
      <c r="X289" s="59"/>
      <c r="Y289" s="173"/>
      <c r="Z289" s="173"/>
    </row>
    <row r="290" spans="10:26" ht="16.5" customHeight="1">
      <c r="J290" s="58"/>
      <c r="W290" s="58"/>
      <c r="X290" s="59"/>
      <c r="Y290" s="173"/>
      <c r="Z290" s="173"/>
    </row>
    <row r="291" spans="10:26" ht="16.5" customHeight="1">
      <c r="J291" s="58"/>
      <c r="W291" s="58"/>
      <c r="X291" s="59"/>
      <c r="Y291" s="173"/>
      <c r="Z291" s="173"/>
    </row>
    <row r="292" spans="10:26" ht="16.5" customHeight="1">
      <c r="J292" s="58"/>
      <c r="W292" s="58"/>
      <c r="X292" s="59"/>
      <c r="Y292" s="173"/>
      <c r="Z292" s="173"/>
    </row>
    <row r="293" spans="10:26" ht="16.5" customHeight="1">
      <c r="J293" s="58"/>
      <c r="W293" s="58"/>
      <c r="X293" s="59"/>
      <c r="Y293" s="173"/>
      <c r="Z293" s="173"/>
    </row>
    <row r="294" spans="10:26" ht="16.5" customHeight="1">
      <c r="J294" s="58"/>
      <c r="W294" s="58"/>
      <c r="X294" s="59"/>
      <c r="Y294" s="173"/>
      <c r="Z294" s="173"/>
    </row>
    <row r="295" spans="10:26" ht="16.5" customHeight="1">
      <c r="J295" s="58"/>
      <c r="W295" s="58"/>
      <c r="X295" s="59"/>
      <c r="Y295" s="173"/>
      <c r="Z295" s="173"/>
    </row>
    <row r="296" spans="10:26" ht="16.5" customHeight="1">
      <c r="J296" s="58"/>
      <c r="W296" s="58"/>
      <c r="X296" s="59"/>
      <c r="Y296" s="173"/>
      <c r="Z296" s="173"/>
    </row>
    <row r="297" spans="10:26" ht="16.5" customHeight="1">
      <c r="J297" s="58"/>
      <c r="W297" s="58"/>
      <c r="X297" s="59"/>
      <c r="Y297" s="173"/>
      <c r="Z297" s="173"/>
    </row>
    <row r="298" spans="10:26" ht="16.5" customHeight="1">
      <c r="J298" s="58"/>
      <c r="W298" s="58"/>
      <c r="X298" s="59"/>
      <c r="Y298" s="173"/>
      <c r="Z298" s="173"/>
    </row>
    <row r="299" spans="10:26" ht="16.5" customHeight="1">
      <c r="J299" s="58"/>
      <c r="W299" s="58"/>
      <c r="X299" s="59"/>
      <c r="Y299" s="173"/>
      <c r="Z299" s="173"/>
    </row>
    <row r="300" spans="10:26" ht="16.5" customHeight="1">
      <c r="J300" s="58"/>
      <c r="W300" s="58"/>
      <c r="X300" s="59"/>
      <c r="Y300" s="173"/>
      <c r="Z300" s="173"/>
    </row>
    <row r="301" spans="10:26" ht="16.5" customHeight="1">
      <c r="J301" s="58"/>
      <c r="W301" s="58"/>
      <c r="X301" s="59"/>
      <c r="Y301" s="173"/>
      <c r="Z301" s="173"/>
    </row>
    <row r="302" spans="10:26" ht="16.5" customHeight="1">
      <c r="J302" s="58"/>
      <c r="W302" s="58"/>
      <c r="X302" s="59"/>
      <c r="Y302" s="173"/>
      <c r="Z302" s="173"/>
    </row>
    <row r="303" spans="10:26" ht="16.5" customHeight="1">
      <c r="J303" s="58"/>
      <c r="W303" s="58"/>
      <c r="X303" s="59"/>
      <c r="Y303" s="173"/>
      <c r="Z303" s="173"/>
    </row>
    <row r="304" spans="10:26" ht="16.5" customHeight="1">
      <c r="J304" s="58"/>
      <c r="W304" s="58"/>
      <c r="X304" s="59"/>
      <c r="Y304" s="173"/>
      <c r="Z304" s="173"/>
    </row>
    <row r="305" spans="10:26" ht="16.5" customHeight="1">
      <c r="J305" s="58"/>
      <c r="W305" s="58"/>
      <c r="X305" s="59"/>
      <c r="Y305" s="173"/>
      <c r="Z305" s="173"/>
    </row>
    <row r="306" spans="10:26" ht="16.5" customHeight="1">
      <c r="J306" s="58"/>
      <c r="W306" s="58"/>
      <c r="X306" s="59"/>
      <c r="Y306" s="173"/>
      <c r="Z306" s="173"/>
    </row>
    <row r="307" spans="10:26" ht="16.5" customHeight="1">
      <c r="J307" s="58"/>
      <c r="W307" s="58"/>
      <c r="X307" s="59"/>
      <c r="Y307" s="173"/>
      <c r="Z307" s="173"/>
    </row>
    <row r="308" spans="10:26" ht="16.5" customHeight="1">
      <c r="J308" s="58"/>
      <c r="W308" s="58"/>
      <c r="X308" s="59"/>
      <c r="Y308" s="173"/>
      <c r="Z308" s="173"/>
    </row>
    <row r="309" spans="10:26" ht="16.5" customHeight="1">
      <c r="J309" s="58"/>
      <c r="W309" s="58"/>
      <c r="X309" s="59"/>
      <c r="Y309" s="173"/>
      <c r="Z309" s="173"/>
    </row>
    <row r="310" spans="10:26" ht="16.5" customHeight="1">
      <c r="J310" s="58"/>
      <c r="W310" s="58"/>
      <c r="X310" s="59"/>
      <c r="Y310" s="173"/>
      <c r="Z310" s="173"/>
    </row>
    <row r="311" spans="10:26" ht="16.5" customHeight="1">
      <c r="J311" s="58"/>
      <c r="W311" s="58"/>
      <c r="X311" s="59"/>
      <c r="Y311" s="173"/>
      <c r="Z311" s="173"/>
    </row>
    <row r="312" spans="10:26" ht="16.5" customHeight="1">
      <c r="J312" s="58"/>
      <c r="W312" s="58"/>
      <c r="X312" s="59"/>
      <c r="Y312" s="173"/>
      <c r="Z312" s="173"/>
    </row>
    <row r="313" spans="10:26" ht="16.5" customHeight="1">
      <c r="J313" s="58"/>
      <c r="W313" s="58"/>
      <c r="X313" s="59"/>
      <c r="Y313" s="173"/>
      <c r="Z313" s="173"/>
    </row>
    <row r="314" spans="10:26" ht="16.5" customHeight="1">
      <c r="J314" s="58"/>
      <c r="W314" s="58"/>
      <c r="X314" s="59"/>
      <c r="Y314" s="173"/>
      <c r="Z314" s="173"/>
    </row>
    <row r="315" spans="10:26" ht="16.5" customHeight="1">
      <c r="J315" s="58"/>
      <c r="W315" s="58"/>
      <c r="X315" s="59"/>
      <c r="Y315" s="173"/>
      <c r="Z315" s="173"/>
    </row>
    <row r="316" spans="10:26" ht="16.5" customHeight="1">
      <c r="J316" s="58"/>
      <c r="W316" s="58"/>
      <c r="X316" s="59"/>
      <c r="Y316" s="173"/>
      <c r="Z316" s="173"/>
    </row>
    <row r="317" spans="10:26" ht="16.5" customHeight="1">
      <c r="J317" s="58"/>
      <c r="W317" s="58"/>
      <c r="X317" s="59"/>
      <c r="Y317" s="173"/>
      <c r="Z317" s="173"/>
    </row>
    <row r="318" spans="10:26" ht="16.5" customHeight="1">
      <c r="J318" s="58"/>
      <c r="W318" s="58"/>
      <c r="X318" s="59"/>
      <c r="Y318" s="173"/>
      <c r="Z318" s="173"/>
    </row>
    <row r="319" spans="10:26" ht="16.5" customHeight="1">
      <c r="J319" s="58"/>
      <c r="W319" s="58"/>
      <c r="X319" s="59"/>
      <c r="Y319" s="173"/>
      <c r="Z319" s="173"/>
    </row>
    <row r="320" spans="10:26" ht="16.5" customHeight="1">
      <c r="J320" s="58"/>
      <c r="W320" s="58"/>
      <c r="X320" s="59"/>
      <c r="Y320" s="173"/>
      <c r="Z320" s="173"/>
    </row>
    <row r="321" spans="10:26" ht="16.5" customHeight="1">
      <c r="J321" s="58"/>
      <c r="W321" s="58"/>
      <c r="X321" s="59"/>
      <c r="Y321" s="173"/>
      <c r="Z321" s="173"/>
    </row>
    <row r="322" spans="10:26" ht="16.5" customHeight="1">
      <c r="J322" s="58"/>
      <c r="W322" s="58"/>
      <c r="X322" s="59"/>
      <c r="Y322" s="173"/>
      <c r="Z322" s="173"/>
    </row>
    <row r="323" spans="10:26" ht="16.5" customHeight="1">
      <c r="J323" s="58"/>
      <c r="W323" s="58"/>
      <c r="X323" s="59"/>
      <c r="Y323" s="173"/>
      <c r="Z323" s="173"/>
    </row>
    <row r="324" spans="10:26" ht="16.5" customHeight="1">
      <c r="J324" s="58"/>
      <c r="W324" s="58"/>
      <c r="X324" s="59"/>
      <c r="Y324" s="173"/>
      <c r="Z324" s="173"/>
    </row>
    <row r="325" spans="10:26" ht="16.5" customHeight="1">
      <c r="J325" s="58"/>
      <c r="W325" s="58"/>
      <c r="X325" s="59"/>
      <c r="Y325" s="173"/>
      <c r="Z325" s="173"/>
    </row>
    <row r="326" spans="10:26" ht="16.5" customHeight="1">
      <c r="J326" s="58"/>
      <c r="W326" s="58"/>
      <c r="X326" s="59"/>
      <c r="Y326" s="173"/>
      <c r="Z326" s="173"/>
    </row>
    <row r="327" spans="10:26" ht="16.5" customHeight="1">
      <c r="J327" s="58"/>
      <c r="W327" s="58"/>
      <c r="X327" s="59"/>
      <c r="Y327" s="173"/>
      <c r="Z327" s="173"/>
    </row>
    <row r="328" spans="10:26" ht="16.5" customHeight="1">
      <c r="J328" s="58"/>
      <c r="W328" s="58"/>
      <c r="X328" s="59"/>
      <c r="Y328" s="173"/>
      <c r="Z328" s="173"/>
    </row>
    <row r="329" spans="10:26" ht="16.5" customHeight="1">
      <c r="J329" s="58"/>
      <c r="W329" s="58"/>
      <c r="X329" s="59"/>
      <c r="Y329" s="173"/>
      <c r="Z329" s="173"/>
    </row>
    <row r="330" spans="10:26" ht="16.5" customHeight="1">
      <c r="J330" s="58"/>
      <c r="W330" s="58"/>
      <c r="X330" s="59"/>
      <c r="Y330" s="173"/>
      <c r="Z330" s="173"/>
    </row>
    <row r="331" spans="10:26" ht="16.5" customHeight="1">
      <c r="J331" s="58"/>
      <c r="W331" s="58"/>
      <c r="X331" s="59"/>
      <c r="Y331" s="173"/>
      <c r="Z331" s="173"/>
    </row>
    <row r="332" spans="10:26" ht="16.5" customHeight="1">
      <c r="J332" s="58"/>
      <c r="W332" s="58"/>
      <c r="X332" s="59"/>
      <c r="Y332" s="173"/>
      <c r="Z332" s="173"/>
    </row>
    <row r="333" spans="10:26" ht="16.5" customHeight="1">
      <c r="J333" s="58"/>
      <c r="W333" s="58"/>
      <c r="X333" s="59"/>
      <c r="Y333" s="173"/>
      <c r="Z333" s="173"/>
    </row>
    <row r="334" spans="10:26" ht="16.5" customHeight="1">
      <c r="J334" s="58"/>
      <c r="W334" s="58"/>
      <c r="X334" s="59"/>
      <c r="Y334" s="173"/>
      <c r="Z334" s="173"/>
    </row>
    <row r="335" spans="10:26" ht="16.5" customHeight="1">
      <c r="J335" s="58"/>
      <c r="W335" s="58"/>
      <c r="X335" s="59"/>
      <c r="Y335" s="173"/>
      <c r="Z335" s="173"/>
    </row>
    <row r="336" spans="10:26" ht="16.5" customHeight="1">
      <c r="J336" s="58"/>
      <c r="W336" s="58"/>
      <c r="X336" s="59"/>
      <c r="Y336" s="173"/>
      <c r="Z336" s="173"/>
    </row>
    <row r="337" spans="10:26" ht="16.5" customHeight="1">
      <c r="J337" s="58"/>
      <c r="W337" s="58"/>
      <c r="X337" s="59"/>
      <c r="Y337" s="173"/>
      <c r="Z337" s="173"/>
    </row>
    <row r="338" spans="10:26" ht="16.5" customHeight="1">
      <c r="J338" s="58"/>
      <c r="W338" s="58"/>
      <c r="X338" s="59"/>
      <c r="Y338" s="173"/>
      <c r="Z338" s="173"/>
    </row>
    <row r="339" spans="10:26" ht="16.5" customHeight="1">
      <c r="J339" s="58"/>
      <c r="W339" s="58"/>
      <c r="X339" s="59"/>
      <c r="Y339" s="173"/>
      <c r="Z339" s="173"/>
    </row>
    <row r="340" spans="10:26" ht="16.5" customHeight="1">
      <c r="J340" s="58"/>
      <c r="W340" s="58"/>
      <c r="X340" s="59"/>
      <c r="Y340" s="173"/>
      <c r="Z340" s="173"/>
    </row>
    <row r="341" spans="10:26" ht="16.5" customHeight="1">
      <c r="J341" s="58"/>
      <c r="W341" s="58"/>
      <c r="X341" s="59"/>
      <c r="Y341" s="173"/>
      <c r="Z341" s="173"/>
    </row>
    <row r="342" spans="10:26" ht="16.5" customHeight="1">
      <c r="J342" s="58"/>
      <c r="W342" s="58"/>
      <c r="X342" s="59"/>
      <c r="Y342" s="173"/>
      <c r="Z342" s="173"/>
    </row>
    <row r="343" spans="10:26" ht="16.5" customHeight="1">
      <c r="J343" s="58"/>
      <c r="W343" s="58"/>
      <c r="X343" s="59"/>
      <c r="Y343" s="173"/>
      <c r="Z343" s="173"/>
    </row>
    <row r="344" spans="10:26" ht="16.5" customHeight="1">
      <c r="J344" s="58"/>
      <c r="W344" s="58"/>
      <c r="X344" s="59"/>
      <c r="Y344" s="173"/>
      <c r="Z344" s="173"/>
    </row>
    <row r="345" spans="10:26" ht="16.5" customHeight="1">
      <c r="J345" s="58"/>
      <c r="W345" s="58"/>
      <c r="X345" s="59"/>
      <c r="Y345" s="173"/>
      <c r="Z345" s="173"/>
    </row>
    <row r="346" spans="10:26" ht="16.5" customHeight="1">
      <c r="J346" s="58"/>
      <c r="W346" s="58"/>
      <c r="X346" s="59"/>
      <c r="Y346" s="173"/>
      <c r="Z346" s="173"/>
    </row>
    <row r="347" spans="10:26" ht="16.5" customHeight="1">
      <c r="J347" s="58"/>
      <c r="W347" s="58"/>
      <c r="X347" s="59"/>
      <c r="Y347" s="173"/>
      <c r="Z347" s="173"/>
    </row>
    <row r="348" spans="10:26" ht="16.5" customHeight="1">
      <c r="J348" s="58"/>
      <c r="W348" s="58"/>
      <c r="X348" s="59"/>
      <c r="Y348" s="173"/>
      <c r="Z348" s="173"/>
    </row>
    <row r="349" spans="10:26" ht="16.5" customHeight="1">
      <c r="J349" s="58"/>
      <c r="W349" s="58"/>
      <c r="X349" s="59"/>
      <c r="Y349" s="173"/>
      <c r="Z349" s="173"/>
    </row>
    <row r="350" spans="10:26" ht="16.5" customHeight="1">
      <c r="J350" s="58"/>
      <c r="W350" s="58"/>
      <c r="X350" s="59"/>
      <c r="Y350" s="173"/>
      <c r="Z350" s="173"/>
    </row>
    <row r="351" spans="10:26" ht="16.5" customHeight="1">
      <c r="J351" s="58"/>
      <c r="W351" s="58"/>
      <c r="X351" s="59"/>
      <c r="Y351" s="173"/>
      <c r="Z351" s="173"/>
    </row>
    <row r="352" spans="10:26" ht="16.5" customHeight="1">
      <c r="J352" s="58"/>
      <c r="W352" s="58"/>
      <c r="X352" s="59"/>
      <c r="Y352" s="173"/>
      <c r="Z352" s="173"/>
    </row>
    <row r="353" spans="10:26" ht="16.5" customHeight="1">
      <c r="J353" s="58"/>
      <c r="W353" s="58"/>
      <c r="X353" s="59"/>
      <c r="Y353" s="173"/>
      <c r="Z353" s="173"/>
    </row>
    <row r="354" spans="10:26" ht="16.5" customHeight="1">
      <c r="J354" s="58"/>
      <c r="W354" s="58"/>
      <c r="X354" s="59"/>
      <c r="Y354" s="173"/>
      <c r="Z354" s="173"/>
    </row>
    <row r="355" spans="10:26" ht="16.5" customHeight="1">
      <c r="J355" s="58"/>
      <c r="W355" s="58"/>
      <c r="X355" s="59"/>
      <c r="Y355" s="173"/>
      <c r="Z355" s="173"/>
    </row>
    <row r="356" spans="10:26" ht="16.5" customHeight="1">
      <c r="J356" s="58"/>
      <c r="W356" s="58"/>
      <c r="X356" s="59"/>
      <c r="Y356" s="173"/>
      <c r="Z356" s="173"/>
    </row>
    <row r="357" spans="10:26" ht="16.5" customHeight="1">
      <c r="J357" s="58"/>
      <c r="W357" s="58"/>
      <c r="X357" s="59"/>
      <c r="Y357" s="173"/>
      <c r="Z357" s="173"/>
    </row>
    <row r="358" spans="10:26" ht="16.5" customHeight="1">
      <c r="J358" s="58"/>
      <c r="W358" s="58"/>
      <c r="X358" s="59"/>
      <c r="Y358" s="173"/>
      <c r="Z358" s="173"/>
    </row>
    <row r="359" spans="10:26" ht="16.5" customHeight="1">
      <c r="J359" s="58"/>
      <c r="W359" s="58"/>
      <c r="X359" s="59"/>
      <c r="Y359" s="173"/>
      <c r="Z359" s="173"/>
    </row>
    <row r="360" spans="10:26" ht="16.5" customHeight="1">
      <c r="J360" s="58"/>
      <c r="W360" s="58"/>
      <c r="X360" s="59"/>
      <c r="Y360" s="173"/>
      <c r="Z360" s="173"/>
    </row>
    <row r="361" spans="10:26" ht="16.5" customHeight="1">
      <c r="J361" s="58"/>
      <c r="W361" s="58"/>
      <c r="X361" s="59"/>
      <c r="Y361" s="173"/>
      <c r="Z361" s="173"/>
    </row>
    <row r="362" spans="10:26" ht="16.5" customHeight="1">
      <c r="J362" s="58"/>
      <c r="W362" s="58"/>
      <c r="X362" s="59"/>
      <c r="Y362" s="173"/>
      <c r="Z362" s="173"/>
    </row>
    <row r="363" spans="10:26" ht="16.5" customHeight="1">
      <c r="J363" s="58"/>
      <c r="W363" s="58"/>
      <c r="X363" s="59"/>
      <c r="Y363" s="173"/>
      <c r="Z363" s="173"/>
    </row>
    <row r="364" spans="10:26" ht="16.5" customHeight="1">
      <c r="J364" s="58"/>
      <c r="W364" s="58"/>
      <c r="X364" s="59"/>
      <c r="Y364" s="173"/>
      <c r="Z364" s="173"/>
    </row>
    <row r="365" spans="10:26" ht="16.5" customHeight="1">
      <c r="J365" s="58"/>
      <c r="W365" s="58"/>
      <c r="X365" s="59"/>
      <c r="Y365" s="173"/>
      <c r="Z365" s="173"/>
    </row>
    <row r="366" spans="10:26" ht="16.5" customHeight="1">
      <c r="J366" s="58"/>
      <c r="W366" s="58"/>
      <c r="X366" s="59"/>
      <c r="Y366" s="173"/>
      <c r="Z366" s="173"/>
    </row>
    <row r="367" spans="10:26" ht="16.5" customHeight="1">
      <c r="J367" s="58"/>
      <c r="W367" s="58"/>
      <c r="X367" s="59"/>
      <c r="Y367" s="173"/>
      <c r="Z367" s="173"/>
    </row>
    <row r="368" spans="10:26" ht="16.5" customHeight="1">
      <c r="J368" s="58"/>
      <c r="W368" s="58"/>
      <c r="X368" s="59"/>
      <c r="Y368" s="173"/>
      <c r="Z368" s="173"/>
    </row>
    <row r="369" spans="10:26" ht="16.5" customHeight="1">
      <c r="J369" s="58"/>
      <c r="W369" s="58"/>
      <c r="X369" s="59"/>
      <c r="Y369" s="173"/>
      <c r="Z369" s="173"/>
    </row>
    <row r="370" spans="10:26" ht="16.5" customHeight="1">
      <c r="J370" s="58"/>
      <c r="W370" s="58"/>
      <c r="X370" s="59"/>
      <c r="Y370" s="173"/>
      <c r="Z370" s="173"/>
    </row>
    <row r="371" spans="10:26" ht="16.5" customHeight="1">
      <c r="J371" s="58"/>
      <c r="W371" s="58"/>
      <c r="X371" s="59"/>
      <c r="Y371" s="173"/>
      <c r="Z371" s="173"/>
    </row>
    <row r="372" spans="10:26" ht="16.5" customHeight="1">
      <c r="J372" s="58"/>
      <c r="W372" s="58"/>
      <c r="X372" s="59"/>
      <c r="Y372" s="173"/>
      <c r="Z372" s="173"/>
    </row>
    <row r="373" spans="10:26" ht="16.5" customHeight="1">
      <c r="J373" s="58"/>
      <c r="W373" s="58"/>
      <c r="X373" s="59"/>
      <c r="Y373" s="173"/>
      <c r="Z373" s="173"/>
    </row>
    <row r="374" spans="10:26" ht="16.5" customHeight="1">
      <c r="J374" s="58"/>
      <c r="W374" s="58"/>
      <c r="X374" s="59"/>
      <c r="Y374" s="173"/>
      <c r="Z374" s="173"/>
    </row>
    <row r="375" spans="10:26" ht="16.5" customHeight="1">
      <c r="J375" s="58"/>
      <c r="W375" s="58"/>
      <c r="X375" s="59"/>
      <c r="Y375" s="173"/>
      <c r="Z375" s="173"/>
    </row>
    <row r="376" spans="10:26" ht="16.5" customHeight="1">
      <c r="J376" s="58"/>
      <c r="W376" s="58"/>
      <c r="X376" s="59"/>
      <c r="Y376" s="173"/>
      <c r="Z376" s="173"/>
    </row>
    <row r="377" spans="10:26" ht="16.5" customHeight="1">
      <c r="J377" s="58"/>
      <c r="W377" s="58"/>
      <c r="X377" s="59"/>
      <c r="Y377" s="173"/>
      <c r="Z377" s="173"/>
    </row>
    <row r="378" spans="10:26" ht="16.5" customHeight="1">
      <c r="J378" s="58"/>
      <c r="W378" s="58"/>
      <c r="X378" s="59"/>
      <c r="Y378" s="173"/>
      <c r="Z378" s="173"/>
    </row>
    <row r="379" spans="10:26" ht="16.5" customHeight="1">
      <c r="J379" s="58"/>
      <c r="W379" s="58"/>
      <c r="X379" s="59"/>
      <c r="Y379" s="173"/>
      <c r="Z379" s="173"/>
    </row>
    <row r="380" spans="10:26" ht="16.5" customHeight="1">
      <c r="J380" s="58"/>
      <c r="W380" s="58"/>
      <c r="X380" s="59"/>
      <c r="Y380" s="173"/>
      <c r="Z380" s="173"/>
    </row>
    <row r="381" spans="10:26" ht="16.5" customHeight="1">
      <c r="J381" s="58"/>
      <c r="W381" s="58"/>
      <c r="X381" s="59"/>
      <c r="Y381" s="173"/>
      <c r="Z381" s="173"/>
    </row>
    <row r="382" spans="10:26" ht="16.5" customHeight="1">
      <c r="J382" s="58"/>
      <c r="W382" s="58"/>
      <c r="X382" s="59"/>
      <c r="Y382" s="173"/>
      <c r="Z382" s="173"/>
    </row>
    <row r="383" spans="10:26" ht="16.5" customHeight="1">
      <c r="J383" s="58"/>
      <c r="W383" s="58"/>
      <c r="X383" s="59"/>
      <c r="Y383" s="173"/>
      <c r="Z383" s="173"/>
    </row>
    <row r="384" spans="10:26" ht="16.5" customHeight="1">
      <c r="J384" s="58"/>
      <c r="W384" s="58"/>
      <c r="X384" s="59"/>
      <c r="Y384" s="173"/>
      <c r="Z384" s="173"/>
    </row>
    <row r="385" spans="10:26" ht="16.5" customHeight="1">
      <c r="J385" s="58"/>
      <c r="W385" s="58"/>
      <c r="X385" s="59"/>
      <c r="Y385" s="173"/>
      <c r="Z385" s="173"/>
    </row>
    <row r="386" spans="10:26" ht="16.5" customHeight="1">
      <c r="J386" s="58"/>
      <c r="W386" s="58"/>
      <c r="X386" s="59"/>
      <c r="Y386" s="173"/>
      <c r="Z386" s="173"/>
    </row>
    <row r="387" spans="10:26" ht="16.5" customHeight="1">
      <c r="J387" s="58"/>
      <c r="W387" s="58"/>
      <c r="X387" s="59"/>
      <c r="Y387" s="173"/>
      <c r="Z387" s="173"/>
    </row>
    <row r="388" spans="10:26" ht="16.5" customHeight="1">
      <c r="J388" s="58"/>
      <c r="W388" s="58"/>
      <c r="X388" s="59"/>
      <c r="Y388" s="173"/>
      <c r="Z388" s="173"/>
    </row>
    <row r="389" spans="10:26" ht="16.5" customHeight="1">
      <c r="J389" s="58"/>
      <c r="W389" s="58"/>
      <c r="X389" s="59"/>
      <c r="Y389" s="173"/>
      <c r="Z389" s="173"/>
    </row>
    <row r="390" spans="10:26" ht="16.5" customHeight="1">
      <c r="J390" s="58"/>
      <c r="W390" s="58"/>
      <c r="X390" s="59"/>
      <c r="Y390" s="173"/>
      <c r="Z390" s="173"/>
    </row>
    <row r="391" spans="10:26" ht="16.5" customHeight="1">
      <c r="J391" s="58"/>
      <c r="W391" s="58"/>
      <c r="X391" s="59"/>
      <c r="Y391" s="173"/>
      <c r="Z391" s="173"/>
    </row>
    <row r="392" spans="10:26" ht="16.5" customHeight="1">
      <c r="J392" s="58"/>
      <c r="W392" s="58"/>
      <c r="X392" s="59"/>
      <c r="Y392" s="173"/>
      <c r="Z392" s="173"/>
    </row>
    <row r="393" spans="10:26" ht="16.5" customHeight="1">
      <c r="J393" s="58"/>
      <c r="W393" s="58"/>
      <c r="X393" s="59"/>
      <c r="Y393" s="173"/>
      <c r="Z393" s="173"/>
    </row>
    <row r="394" spans="10:26" ht="16.5" customHeight="1">
      <c r="J394" s="58"/>
      <c r="W394" s="58"/>
      <c r="X394" s="59"/>
      <c r="Y394" s="173"/>
      <c r="Z394" s="173"/>
    </row>
    <row r="395" spans="10:26" ht="16.5" customHeight="1">
      <c r="J395" s="58"/>
      <c r="W395" s="58"/>
      <c r="X395" s="59"/>
      <c r="Y395" s="173"/>
      <c r="Z395" s="173"/>
    </row>
    <row r="396" spans="10:26" ht="16.5" customHeight="1">
      <c r="J396" s="58"/>
      <c r="W396" s="58"/>
      <c r="X396" s="59"/>
      <c r="Y396" s="173"/>
      <c r="Z396" s="173"/>
    </row>
    <row r="397" spans="10:26" ht="16.5" customHeight="1">
      <c r="J397" s="58"/>
      <c r="W397" s="58"/>
      <c r="X397" s="59"/>
      <c r="Y397" s="173"/>
      <c r="Z397" s="173"/>
    </row>
    <row r="398" spans="10:26" ht="16.5" customHeight="1">
      <c r="J398" s="58"/>
      <c r="W398" s="58"/>
      <c r="X398" s="59"/>
      <c r="Y398" s="173"/>
      <c r="Z398" s="173"/>
    </row>
    <row r="399" spans="10:26" ht="16.5" customHeight="1">
      <c r="J399" s="58"/>
      <c r="W399" s="58"/>
      <c r="X399" s="59"/>
      <c r="Y399" s="173"/>
      <c r="Z399" s="173"/>
    </row>
    <row r="400" spans="10:26" ht="16.5" customHeight="1">
      <c r="J400" s="58"/>
      <c r="W400" s="58"/>
      <c r="X400" s="59"/>
      <c r="Y400" s="173"/>
      <c r="Z400" s="173"/>
    </row>
    <row r="401" spans="10:26" ht="16.5" customHeight="1">
      <c r="J401" s="58"/>
      <c r="W401" s="58"/>
      <c r="X401" s="59"/>
      <c r="Y401" s="173"/>
      <c r="Z401" s="173"/>
    </row>
    <row r="402" spans="10:26" ht="16.5" customHeight="1">
      <c r="J402" s="58"/>
      <c r="W402" s="58"/>
      <c r="X402" s="59"/>
      <c r="Y402" s="173"/>
      <c r="Z402" s="173"/>
    </row>
    <row r="403" spans="10:26" ht="16.5" customHeight="1">
      <c r="J403" s="58"/>
      <c r="W403" s="58"/>
      <c r="X403" s="59"/>
      <c r="Y403" s="173"/>
      <c r="Z403" s="173"/>
    </row>
    <row r="404" spans="10:26" ht="16.5" customHeight="1">
      <c r="J404" s="58"/>
      <c r="W404" s="58"/>
      <c r="X404" s="59"/>
      <c r="Y404" s="173"/>
      <c r="Z404" s="173"/>
    </row>
    <row r="405" spans="10:26" ht="16.5" customHeight="1">
      <c r="J405" s="58"/>
      <c r="W405" s="58"/>
      <c r="X405" s="59"/>
      <c r="Y405" s="173"/>
      <c r="Z405" s="173"/>
    </row>
    <row r="406" spans="10:26" ht="16.5" customHeight="1">
      <c r="J406" s="58"/>
      <c r="W406" s="58"/>
      <c r="X406" s="59"/>
      <c r="Y406" s="173"/>
      <c r="Z406" s="173"/>
    </row>
    <row r="407" spans="10:26" ht="16.5" customHeight="1">
      <c r="J407" s="58"/>
      <c r="W407" s="58"/>
      <c r="X407" s="59"/>
      <c r="Y407" s="173"/>
      <c r="Z407" s="173"/>
    </row>
    <row r="408" spans="10:26" ht="16.5" customHeight="1">
      <c r="J408" s="58"/>
      <c r="W408" s="58"/>
      <c r="X408" s="59"/>
      <c r="Y408" s="173"/>
      <c r="Z408" s="173"/>
    </row>
    <row r="409" spans="10:26" ht="16.5" customHeight="1">
      <c r="J409" s="58"/>
      <c r="W409" s="58"/>
      <c r="X409" s="59"/>
      <c r="Y409" s="173"/>
      <c r="Z409" s="173"/>
    </row>
    <row r="410" spans="10:26" ht="16.5" customHeight="1">
      <c r="J410" s="58"/>
      <c r="W410" s="58"/>
      <c r="X410" s="59"/>
      <c r="Y410" s="173"/>
      <c r="Z410" s="173"/>
    </row>
    <row r="411" spans="10:26" ht="16.5" customHeight="1">
      <c r="J411" s="58"/>
      <c r="W411" s="58"/>
      <c r="X411" s="59"/>
      <c r="Y411" s="173"/>
      <c r="Z411" s="173"/>
    </row>
    <row r="412" spans="10:26" ht="16.5" customHeight="1">
      <c r="J412" s="58"/>
      <c r="W412" s="58"/>
      <c r="X412" s="59"/>
      <c r="Y412" s="173"/>
      <c r="Z412" s="173"/>
    </row>
    <row r="413" spans="10:26" ht="16.5" customHeight="1">
      <c r="J413" s="58"/>
      <c r="W413" s="58"/>
      <c r="X413" s="59"/>
      <c r="Y413" s="173"/>
      <c r="Z413" s="173"/>
    </row>
    <row r="414" spans="10:26" ht="16.5" customHeight="1">
      <c r="J414" s="58"/>
      <c r="W414" s="58"/>
      <c r="X414" s="59"/>
      <c r="Y414" s="173"/>
      <c r="Z414" s="173"/>
    </row>
    <row r="415" spans="10:26" ht="16.5" customHeight="1">
      <c r="J415" s="58"/>
      <c r="W415" s="58"/>
      <c r="X415" s="59"/>
      <c r="Y415" s="173"/>
      <c r="Z415" s="173"/>
    </row>
    <row r="416" spans="10:26" ht="16.5" customHeight="1">
      <c r="J416" s="58"/>
      <c r="W416" s="58"/>
      <c r="X416" s="59"/>
      <c r="Y416" s="173"/>
      <c r="Z416" s="173"/>
    </row>
    <row r="417" spans="10:26" ht="16.5" customHeight="1">
      <c r="J417" s="58"/>
      <c r="W417" s="58"/>
      <c r="X417" s="59"/>
      <c r="Y417" s="173"/>
      <c r="Z417" s="173"/>
    </row>
    <row r="418" spans="10:26" ht="16.5" customHeight="1">
      <c r="J418" s="58"/>
      <c r="W418" s="58"/>
      <c r="X418" s="59"/>
      <c r="Y418" s="173"/>
      <c r="Z418" s="173"/>
    </row>
    <row r="419" spans="10:26" ht="16.5" customHeight="1">
      <c r="J419" s="58"/>
      <c r="W419" s="58"/>
      <c r="X419" s="59"/>
      <c r="Y419" s="173"/>
      <c r="Z419" s="173"/>
    </row>
    <row r="420" spans="10:26" ht="16.5" customHeight="1">
      <c r="J420" s="58"/>
      <c r="W420" s="58"/>
      <c r="X420" s="59"/>
      <c r="Y420" s="173"/>
      <c r="Z420" s="173"/>
    </row>
    <row r="421" spans="10:26" ht="16.5" customHeight="1">
      <c r="J421" s="58"/>
      <c r="W421" s="58"/>
      <c r="X421" s="59"/>
      <c r="Y421" s="173"/>
      <c r="Z421" s="173"/>
    </row>
    <row r="422" spans="10:26" ht="16.5" customHeight="1">
      <c r="J422" s="58"/>
      <c r="W422" s="58"/>
      <c r="X422" s="59"/>
      <c r="Y422" s="173"/>
      <c r="Z422" s="173"/>
    </row>
    <row r="423" spans="10:26" ht="16.5" customHeight="1">
      <c r="J423" s="58"/>
      <c r="W423" s="58"/>
      <c r="X423" s="59"/>
      <c r="Y423" s="173"/>
      <c r="Z423" s="173"/>
    </row>
    <row r="424" spans="10:26" ht="16.5" customHeight="1">
      <c r="J424" s="58"/>
      <c r="W424" s="58"/>
      <c r="X424" s="59"/>
      <c r="Y424" s="173"/>
      <c r="Z424" s="173"/>
    </row>
    <row r="425" spans="10:26" ht="16.5" customHeight="1">
      <c r="J425" s="58"/>
      <c r="W425" s="58"/>
      <c r="X425" s="59"/>
      <c r="Y425" s="173"/>
      <c r="Z425" s="173"/>
    </row>
    <row r="426" spans="10:26" ht="16.5" customHeight="1">
      <c r="J426" s="58"/>
      <c r="W426" s="58"/>
      <c r="X426" s="59"/>
      <c r="Y426" s="173"/>
      <c r="Z426" s="173"/>
    </row>
    <row r="427" spans="10:26" ht="16.5" customHeight="1">
      <c r="J427" s="58"/>
      <c r="W427" s="58"/>
      <c r="X427" s="59"/>
      <c r="Y427" s="173"/>
      <c r="Z427" s="173"/>
    </row>
    <row r="428" spans="10:26" ht="16.5" customHeight="1">
      <c r="J428" s="58"/>
      <c r="W428" s="58"/>
      <c r="X428" s="59"/>
      <c r="Y428" s="173"/>
      <c r="Z428" s="173"/>
    </row>
    <row r="429" spans="10:26" ht="16.5" customHeight="1">
      <c r="J429" s="58"/>
      <c r="W429" s="58"/>
      <c r="X429" s="59"/>
      <c r="Y429" s="173"/>
      <c r="Z429" s="173"/>
    </row>
    <row r="430" spans="10:26" ht="16.5" customHeight="1">
      <c r="J430" s="58"/>
      <c r="W430" s="58"/>
      <c r="X430" s="59"/>
      <c r="Y430" s="173"/>
      <c r="Z430" s="173"/>
    </row>
    <row r="431" spans="10:26" ht="16.5" customHeight="1">
      <c r="J431" s="58"/>
      <c r="W431" s="58"/>
      <c r="X431" s="59"/>
      <c r="Y431" s="173"/>
      <c r="Z431" s="173"/>
    </row>
    <row r="432" spans="10:26" ht="16.5" customHeight="1">
      <c r="J432" s="58"/>
      <c r="W432" s="58"/>
      <c r="X432" s="59"/>
      <c r="Y432" s="173"/>
      <c r="Z432" s="173"/>
    </row>
    <row r="433" spans="10:26" ht="16.5" customHeight="1">
      <c r="J433" s="58"/>
      <c r="W433" s="58"/>
      <c r="X433" s="59"/>
      <c r="Y433" s="173"/>
      <c r="Z433" s="173"/>
    </row>
    <row r="434" spans="10:26" ht="16.5" customHeight="1">
      <c r="J434" s="58"/>
      <c r="W434" s="58"/>
      <c r="X434" s="59"/>
      <c r="Y434" s="173"/>
      <c r="Z434" s="173"/>
    </row>
    <row r="435" spans="10:26" ht="16.5" customHeight="1">
      <c r="J435" s="58"/>
      <c r="W435" s="58"/>
      <c r="X435" s="59"/>
      <c r="Y435" s="173"/>
      <c r="Z435" s="173"/>
    </row>
    <row r="436" spans="10:26" ht="16.5" customHeight="1">
      <c r="J436" s="58"/>
      <c r="W436" s="58"/>
      <c r="X436" s="59"/>
      <c r="Y436" s="173"/>
      <c r="Z436" s="173"/>
    </row>
    <row r="437" spans="10:26" ht="16.5" customHeight="1">
      <c r="J437" s="58"/>
      <c r="W437" s="58"/>
      <c r="X437" s="59"/>
      <c r="Y437" s="173"/>
      <c r="Z437" s="173"/>
    </row>
    <row r="438" spans="10:26" ht="16.5" customHeight="1">
      <c r="J438" s="58"/>
      <c r="W438" s="58"/>
      <c r="X438" s="59"/>
      <c r="Y438" s="173"/>
      <c r="Z438" s="173"/>
    </row>
    <row r="439" spans="10:26" ht="16.5" customHeight="1">
      <c r="J439" s="58"/>
      <c r="W439" s="58"/>
      <c r="X439" s="59"/>
      <c r="Y439" s="173"/>
      <c r="Z439" s="173"/>
    </row>
    <row r="440" spans="10:26" ht="16.5" customHeight="1">
      <c r="J440" s="58"/>
      <c r="W440" s="58"/>
      <c r="X440" s="59"/>
      <c r="Y440" s="173"/>
      <c r="Z440" s="173"/>
    </row>
    <row r="441" spans="10:26" ht="16.5" customHeight="1">
      <c r="J441" s="58"/>
      <c r="W441" s="58"/>
      <c r="X441" s="59"/>
      <c r="Y441" s="173"/>
      <c r="Z441" s="173"/>
    </row>
    <row r="442" spans="10:26" ht="16.5" customHeight="1">
      <c r="J442" s="58"/>
      <c r="W442" s="58"/>
      <c r="X442" s="59"/>
      <c r="Y442" s="173"/>
      <c r="Z442" s="173"/>
    </row>
    <row r="443" spans="10:26" ht="16.5" customHeight="1">
      <c r="J443" s="58"/>
      <c r="W443" s="58"/>
      <c r="X443" s="59"/>
      <c r="Y443" s="173"/>
      <c r="Z443" s="173"/>
    </row>
    <row r="444" spans="10:26" ht="16.5" customHeight="1">
      <c r="J444" s="58"/>
      <c r="W444" s="58"/>
      <c r="X444" s="59"/>
      <c r="Y444" s="173"/>
      <c r="Z444" s="173"/>
    </row>
    <row r="445" spans="10:26" ht="16.5" customHeight="1">
      <c r="J445" s="58"/>
      <c r="W445" s="58"/>
      <c r="X445" s="59"/>
      <c r="Y445" s="173"/>
      <c r="Z445" s="173"/>
    </row>
    <row r="446" spans="10:26" ht="16.5" customHeight="1">
      <c r="J446" s="58"/>
      <c r="W446" s="58"/>
      <c r="X446" s="59"/>
      <c r="Y446" s="173"/>
      <c r="Z446" s="173"/>
    </row>
    <row r="447" spans="10:26" ht="16.5" customHeight="1">
      <c r="J447" s="58"/>
      <c r="W447" s="58"/>
      <c r="X447" s="59"/>
      <c r="Y447" s="173"/>
      <c r="Z447" s="173"/>
    </row>
    <row r="448" spans="10:26" ht="16.5" customHeight="1">
      <c r="J448" s="58"/>
      <c r="W448" s="58"/>
      <c r="X448" s="59"/>
      <c r="Y448" s="173"/>
      <c r="Z448" s="173"/>
    </row>
    <row r="449" spans="10:26" ht="16.5" customHeight="1">
      <c r="J449" s="58"/>
      <c r="W449" s="58"/>
      <c r="X449" s="59"/>
      <c r="Y449" s="173"/>
      <c r="Z449" s="173"/>
    </row>
    <row r="450" spans="10:26" ht="16.5" customHeight="1">
      <c r="J450" s="58"/>
      <c r="W450" s="58"/>
      <c r="X450" s="59"/>
      <c r="Y450" s="173"/>
      <c r="Z450" s="173"/>
    </row>
    <row r="451" spans="10:26" ht="16.5" customHeight="1">
      <c r="J451" s="58"/>
      <c r="W451" s="58"/>
      <c r="X451" s="59"/>
      <c r="Y451" s="173"/>
      <c r="Z451" s="173"/>
    </row>
    <row r="452" spans="10:26" ht="16.5" customHeight="1">
      <c r="J452" s="58"/>
      <c r="W452" s="58"/>
      <c r="X452" s="59"/>
      <c r="Y452" s="173"/>
      <c r="Z452" s="173"/>
    </row>
    <row r="453" spans="10:26" ht="16.5" customHeight="1">
      <c r="J453" s="58"/>
      <c r="W453" s="58"/>
      <c r="X453" s="59"/>
      <c r="Y453" s="173"/>
      <c r="Z453" s="173"/>
    </row>
    <row r="454" spans="10:26" ht="16.5" customHeight="1">
      <c r="J454" s="58"/>
      <c r="W454" s="58"/>
      <c r="X454" s="59"/>
      <c r="Y454" s="173"/>
      <c r="Z454" s="173"/>
    </row>
    <row r="455" spans="10:26" ht="16.5" customHeight="1">
      <c r="J455" s="58"/>
      <c r="W455" s="58"/>
      <c r="X455" s="59"/>
      <c r="Y455" s="173"/>
      <c r="Z455" s="173"/>
    </row>
    <row r="456" spans="10:26" ht="16.5" customHeight="1">
      <c r="J456" s="58"/>
      <c r="W456" s="58"/>
      <c r="X456" s="59"/>
      <c r="Y456" s="173"/>
      <c r="Z456" s="173"/>
    </row>
    <row r="457" spans="10:26" ht="16.5" customHeight="1">
      <c r="J457" s="58"/>
      <c r="W457" s="58"/>
      <c r="X457" s="59"/>
      <c r="Y457" s="173"/>
      <c r="Z457" s="173"/>
    </row>
    <row r="458" spans="10:26" ht="16.5" customHeight="1">
      <c r="J458" s="58"/>
      <c r="W458" s="58"/>
      <c r="X458" s="59"/>
      <c r="Y458" s="173"/>
      <c r="Z458" s="173"/>
    </row>
    <row r="459" spans="10:26" ht="16.5" customHeight="1">
      <c r="J459" s="58"/>
      <c r="W459" s="58"/>
      <c r="X459" s="59"/>
      <c r="Y459" s="173"/>
      <c r="Z459" s="173"/>
    </row>
    <row r="460" spans="10:26" ht="16.5" customHeight="1">
      <c r="J460" s="58"/>
      <c r="W460" s="58"/>
      <c r="X460" s="59"/>
      <c r="Y460" s="173"/>
      <c r="Z460" s="173"/>
    </row>
    <row r="461" spans="10:26" ht="16.5" customHeight="1">
      <c r="J461" s="58"/>
      <c r="W461" s="58"/>
      <c r="X461" s="59"/>
      <c r="Y461" s="173"/>
      <c r="Z461" s="173"/>
    </row>
    <row r="462" spans="10:26" ht="16.5" customHeight="1">
      <c r="J462" s="58"/>
      <c r="W462" s="58"/>
      <c r="X462" s="59"/>
      <c r="Y462" s="173"/>
      <c r="Z462" s="173"/>
    </row>
    <row r="463" spans="10:26" ht="16.5" customHeight="1">
      <c r="J463" s="58"/>
      <c r="W463" s="58"/>
      <c r="X463" s="59"/>
      <c r="Y463" s="173"/>
      <c r="Z463" s="173"/>
    </row>
    <row r="464" spans="10:26" ht="16.5" customHeight="1">
      <c r="J464" s="58"/>
      <c r="W464" s="58"/>
      <c r="X464" s="59"/>
      <c r="Y464" s="173"/>
      <c r="Z464" s="173"/>
    </row>
    <row r="465" spans="10:26" ht="16.5" customHeight="1">
      <c r="J465" s="58"/>
      <c r="W465" s="58"/>
      <c r="X465" s="59"/>
      <c r="Y465" s="173"/>
      <c r="Z465" s="173"/>
    </row>
    <row r="466" spans="10:26" ht="16.5" customHeight="1">
      <c r="J466" s="58"/>
      <c r="W466" s="58"/>
      <c r="X466" s="59"/>
      <c r="Y466" s="173"/>
      <c r="Z466" s="173"/>
    </row>
    <row r="467" spans="10:26" ht="16.5" customHeight="1">
      <c r="J467" s="58"/>
      <c r="W467" s="58"/>
      <c r="X467" s="59"/>
      <c r="Y467" s="173"/>
      <c r="Z467" s="173"/>
    </row>
    <row r="468" spans="10:26" ht="16.5" customHeight="1">
      <c r="J468" s="58"/>
      <c r="W468" s="58"/>
      <c r="X468" s="59"/>
      <c r="Y468" s="173"/>
      <c r="Z468" s="173"/>
    </row>
    <row r="469" spans="10:26" ht="16.5" customHeight="1">
      <c r="J469" s="58"/>
      <c r="W469" s="58"/>
      <c r="X469" s="59"/>
      <c r="Y469" s="173"/>
      <c r="Z469" s="173"/>
    </row>
    <row r="470" spans="10:26" ht="16.5" customHeight="1">
      <c r="J470" s="58"/>
      <c r="W470" s="58"/>
      <c r="X470" s="59"/>
      <c r="Y470" s="173"/>
      <c r="Z470" s="173"/>
    </row>
    <row r="471" spans="10:26" ht="16.5" customHeight="1">
      <c r="J471" s="58"/>
      <c r="W471" s="58"/>
      <c r="X471" s="59"/>
      <c r="Y471" s="173"/>
      <c r="Z471" s="173"/>
    </row>
    <row r="472" spans="10:26" ht="16.5" customHeight="1">
      <c r="J472" s="58"/>
      <c r="W472" s="58"/>
      <c r="X472" s="59"/>
      <c r="Y472" s="173"/>
      <c r="Z472" s="173"/>
    </row>
    <row r="473" spans="10:26" ht="16.5" customHeight="1">
      <c r="J473" s="58"/>
      <c r="W473" s="58"/>
      <c r="X473" s="59"/>
      <c r="Y473" s="173"/>
      <c r="Z473" s="173"/>
    </row>
    <row r="474" spans="10:26" ht="16.5" customHeight="1">
      <c r="J474" s="58"/>
      <c r="W474" s="58"/>
      <c r="X474" s="59"/>
      <c r="Y474" s="173"/>
      <c r="Z474" s="173"/>
    </row>
    <row r="475" spans="10:26" ht="16.5" customHeight="1">
      <c r="J475" s="58"/>
      <c r="W475" s="58"/>
      <c r="X475" s="59"/>
      <c r="Y475" s="173"/>
      <c r="Z475" s="173"/>
    </row>
    <row r="476" spans="10:26" ht="16.5" customHeight="1">
      <c r="J476" s="58"/>
      <c r="W476" s="58"/>
      <c r="X476" s="59"/>
      <c r="Y476" s="173"/>
      <c r="Z476" s="173"/>
    </row>
    <row r="477" spans="10:26" ht="16.5" customHeight="1">
      <c r="J477" s="58"/>
      <c r="W477" s="58"/>
      <c r="X477" s="59"/>
      <c r="Y477" s="173"/>
      <c r="Z477" s="173"/>
    </row>
    <row r="478" spans="10:26" ht="16.5" customHeight="1">
      <c r="J478" s="58"/>
      <c r="W478" s="58"/>
      <c r="X478" s="59"/>
      <c r="Y478" s="173"/>
      <c r="Z478" s="173"/>
    </row>
    <row r="479" spans="10:26" ht="16.5" customHeight="1">
      <c r="J479" s="58"/>
      <c r="W479" s="58"/>
      <c r="X479" s="59"/>
      <c r="Y479" s="173"/>
      <c r="Z479" s="173"/>
    </row>
    <row r="480" spans="10:26" ht="16.5" customHeight="1">
      <c r="J480" s="58"/>
      <c r="W480" s="58"/>
      <c r="X480" s="59"/>
      <c r="Y480" s="173"/>
      <c r="Z480" s="173"/>
    </row>
    <row r="481" spans="10:26" ht="16.5" customHeight="1">
      <c r="J481" s="58"/>
      <c r="W481" s="58"/>
      <c r="X481" s="59"/>
      <c r="Y481" s="173"/>
      <c r="Z481" s="173"/>
    </row>
    <row r="482" spans="10:26" ht="16.5" customHeight="1">
      <c r="J482" s="58"/>
      <c r="W482" s="58"/>
      <c r="X482" s="59"/>
      <c r="Y482" s="173"/>
      <c r="Z482" s="173"/>
    </row>
    <row r="483" spans="10:26" ht="16.5" customHeight="1">
      <c r="J483" s="58"/>
      <c r="W483" s="58"/>
      <c r="X483" s="59"/>
      <c r="Y483" s="173"/>
      <c r="Z483" s="173"/>
    </row>
    <row r="484" spans="10:26" ht="16.5" customHeight="1">
      <c r="J484" s="58"/>
      <c r="W484" s="58"/>
      <c r="X484" s="59"/>
      <c r="Y484" s="173"/>
      <c r="Z484" s="173"/>
    </row>
    <row r="485" spans="10:26" ht="16.5" customHeight="1">
      <c r="J485" s="58"/>
      <c r="W485" s="58"/>
      <c r="X485" s="59"/>
      <c r="Y485" s="173"/>
      <c r="Z485" s="173"/>
    </row>
    <row r="486" spans="10:26" ht="16.5" customHeight="1">
      <c r="J486" s="58"/>
      <c r="W486" s="58"/>
      <c r="X486" s="59"/>
      <c r="Y486" s="173"/>
      <c r="Z486" s="173"/>
    </row>
    <row r="487" spans="10:26" ht="16.5" customHeight="1">
      <c r="J487" s="58"/>
      <c r="W487" s="58"/>
      <c r="X487" s="59"/>
      <c r="Y487" s="173"/>
      <c r="Z487" s="173"/>
    </row>
    <row r="488" spans="10:26" ht="16.5" customHeight="1">
      <c r="J488" s="58"/>
      <c r="W488" s="58"/>
      <c r="X488" s="59"/>
      <c r="Y488" s="173"/>
      <c r="Z488" s="173"/>
    </row>
    <row r="489" spans="10:26" ht="16.5" customHeight="1">
      <c r="J489" s="58"/>
      <c r="W489" s="58"/>
      <c r="X489" s="59"/>
      <c r="Y489" s="173"/>
      <c r="Z489" s="173"/>
    </row>
    <row r="490" spans="10:26" ht="16.5" customHeight="1">
      <c r="J490" s="58"/>
      <c r="W490" s="58"/>
      <c r="X490" s="59"/>
      <c r="Y490" s="173"/>
      <c r="Z490" s="173"/>
    </row>
    <row r="491" spans="10:26" ht="16.5" customHeight="1">
      <c r="J491" s="58"/>
      <c r="W491" s="58"/>
      <c r="X491" s="59"/>
      <c r="Y491" s="173"/>
      <c r="Z491" s="173"/>
    </row>
    <row r="492" spans="10:26" ht="16.5" customHeight="1">
      <c r="J492" s="58"/>
      <c r="W492" s="58"/>
      <c r="X492" s="59"/>
      <c r="Y492" s="173"/>
      <c r="Z492" s="173"/>
    </row>
    <row r="493" spans="10:26" ht="16.5" customHeight="1">
      <c r="J493" s="58"/>
      <c r="W493" s="58"/>
      <c r="X493" s="59"/>
      <c r="Y493" s="173"/>
      <c r="Z493" s="173"/>
    </row>
    <row r="494" spans="10:26" ht="16.5" customHeight="1">
      <c r="J494" s="58"/>
      <c r="W494" s="58"/>
      <c r="X494" s="59"/>
      <c r="Y494" s="173"/>
      <c r="Z494" s="173"/>
    </row>
    <row r="495" spans="10:26" ht="16.5" customHeight="1">
      <c r="J495" s="58"/>
      <c r="W495" s="58"/>
      <c r="X495" s="59"/>
      <c r="Y495" s="173"/>
      <c r="Z495" s="173"/>
    </row>
    <row r="496" spans="10:26" ht="16.5" customHeight="1">
      <c r="J496" s="58"/>
      <c r="W496" s="58"/>
      <c r="X496" s="59"/>
      <c r="Y496" s="173"/>
      <c r="Z496" s="173"/>
    </row>
    <row r="497" spans="10:26" ht="16.5" customHeight="1">
      <c r="J497" s="58"/>
      <c r="W497" s="58"/>
      <c r="X497" s="59"/>
      <c r="Y497" s="173"/>
      <c r="Z497" s="173"/>
    </row>
    <row r="498" spans="10:26" ht="16.5" customHeight="1">
      <c r="J498" s="58"/>
      <c r="W498" s="58"/>
      <c r="X498" s="59"/>
      <c r="Y498" s="173"/>
      <c r="Z498" s="173"/>
    </row>
    <row r="499" spans="10:26" ht="16.5" customHeight="1">
      <c r="J499" s="58"/>
      <c r="W499" s="58"/>
      <c r="X499" s="59"/>
      <c r="Y499" s="173"/>
      <c r="Z499" s="173"/>
    </row>
    <row r="500" spans="10:26" ht="16.5" customHeight="1">
      <c r="J500" s="58"/>
      <c r="W500" s="58"/>
      <c r="X500" s="59"/>
      <c r="Y500" s="173"/>
      <c r="Z500" s="173"/>
    </row>
    <row r="501" spans="10:26" ht="16.5" customHeight="1">
      <c r="J501" s="58"/>
      <c r="W501" s="58"/>
      <c r="X501" s="59"/>
      <c r="Y501" s="173"/>
      <c r="Z501" s="173"/>
    </row>
    <row r="502" spans="10:26" ht="16.5" customHeight="1">
      <c r="J502" s="58"/>
      <c r="W502" s="58"/>
      <c r="X502" s="59"/>
      <c r="Y502" s="173"/>
      <c r="Z502" s="173"/>
    </row>
    <row r="503" spans="10:26" ht="16.5" customHeight="1">
      <c r="J503" s="58"/>
      <c r="W503" s="58"/>
      <c r="X503" s="59"/>
      <c r="Y503" s="173"/>
      <c r="Z503" s="173"/>
    </row>
    <row r="504" spans="10:26" ht="16.5" customHeight="1">
      <c r="J504" s="58"/>
      <c r="W504" s="58"/>
      <c r="X504" s="59"/>
      <c r="Y504" s="173"/>
      <c r="Z504" s="173"/>
    </row>
    <row r="505" spans="10:26" ht="16.5" customHeight="1">
      <c r="J505" s="58"/>
      <c r="W505" s="58"/>
      <c r="X505" s="59"/>
      <c r="Y505" s="173"/>
      <c r="Z505" s="173"/>
    </row>
    <row r="506" spans="10:26" ht="16.5" customHeight="1">
      <c r="J506" s="58"/>
      <c r="W506" s="58"/>
      <c r="X506" s="59"/>
      <c r="Y506" s="173"/>
      <c r="Z506" s="173"/>
    </row>
    <row r="507" spans="10:26" ht="16.5" customHeight="1">
      <c r="J507" s="58"/>
      <c r="W507" s="58"/>
      <c r="X507" s="59"/>
      <c r="Y507" s="173"/>
      <c r="Z507" s="173"/>
    </row>
    <row r="508" spans="10:26" ht="16.5" customHeight="1">
      <c r="J508" s="58"/>
      <c r="W508" s="58"/>
      <c r="X508" s="59"/>
      <c r="Y508" s="173"/>
      <c r="Z508" s="173"/>
    </row>
    <row r="509" spans="10:26" ht="16.5" customHeight="1">
      <c r="J509" s="58"/>
      <c r="W509" s="58"/>
      <c r="X509" s="59"/>
      <c r="Y509" s="173"/>
      <c r="Z509" s="173"/>
    </row>
    <row r="510" spans="10:26" ht="16.5" customHeight="1">
      <c r="J510" s="58"/>
      <c r="W510" s="58"/>
      <c r="X510" s="59"/>
      <c r="Y510" s="173"/>
      <c r="Z510" s="173"/>
    </row>
    <row r="511" spans="10:26" ht="16.5" customHeight="1">
      <c r="J511" s="58"/>
      <c r="W511" s="58"/>
      <c r="X511" s="59"/>
      <c r="Y511" s="173"/>
      <c r="Z511" s="173"/>
    </row>
    <row r="512" spans="10:26" ht="16.5" customHeight="1">
      <c r="J512" s="58"/>
      <c r="W512" s="58"/>
      <c r="X512" s="59"/>
      <c r="Y512" s="173"/>
      <c r="Z512" s="173"/>
    </row>
    <row r="513" spans="10:26" ht="16.5" customHeight="1">
      <c r="J513" s="58"/>
      <c r="W513" s="58"/>
      <c r="X513" s="59"/>
      <c r="Y513" s="173"/>
      <c r="Z513" s="173"/>
    </row>
    <row r="514" spans="10:26" ht="16.5" customHeight="1">
      <c r="J514" s="58"/>
      <c r="W514" s="58"/>
      <c r="X514" s="59"/>
      <c r="Y514" s="173"/>
      <c r="Z514" s="173"/>
    </row>
    <row r="515" spans="10:26" ht="16.5" customHeight="1">
      <c r="J515" s="58"/>
      <c r="W515" s="58"/>
      <c r="X515" s="59"/>
      <c r="Y515" s="173"/>
      <c r="Z515" s="173"/>
    </row>
    <row r="516" spans="10:26" ht="16.5" customHeight="1">
      <c r="J516" s="58"/>
      <c r="W516" s="58"/>
      <c r="X516" s="59"/>
      <c r="Y516" s="173"/>
      <c r="Z516" s="173"/>
    </row>
    <row r="517" spans="10:26" ht="16.5" customHeight="1">
      <c r="J517" s="58"/>
      <c r="W517" s="58"/>
      <c r="X517" s="59"/>
      <c r="Y517" s="173"/>
      <c r="Z517" s="173"/>
    </row>
    <row r="518" spans="10:26" ht="16.5" customHeight="1">
      <c r="J518" s="58"/>
      <c r="W518" s="58"/>
      <c r="X518" s="59"/>
      <c r="Y518" s="173"/>
      <c r="Z518" s="173"/>
    </row>
    <row r="519" spans="10:26" ht="16.5" customHeight="1">
      <c r="J519" s="58"/>
      <c r="W519" s="58"/>
      <c r="X519" s="59"/>
      <c r="Y519" s="173"/>
      <c r="Z519" s="173"/>
    </row>
    <row r="520" spans="10:26" ht="16.5" customHeight="1">
      <c r="J520" s="58"/>
      <c r="W520" s="58"/>
      <c r="X520" s="59"/>
      <c r="Y520" s="173"/>
      <c r="Z520" s="173"/>
    </row>
    <row r="521" spans="10:26" ht="16.5" customHeight="1">
      <c r="J521" s="58"/>
      <c r="W521" s="58"/>
      <c r="X521" s="59"/>
      <c r="Y521" s="173"/>
      <c r="Z521" s="173"/>
    </row>
    <row r="522" spans="10:26" ht="16.5" customHeight="1">
      <c r="J522" s="58"/>
      <c r="W522" s="58"/>
      <c r="X522" s="59"/>
      <c r="Y522" s="173"/>
      <c r="Z522" s="173"/>
    </row>
    <row r="523" spans="10:26" ht="16.5" customHeight="1">
      <c r="J523" s="58"/>
      <c r="W523" s="58"/>
      <c r="X523" s="59"/>
      <c r="Y523" s="173"/>
      <c r="Z523" s="173"/>
    </row>
    <row r="524" spans="10:26" ht="16.5" customHeight="1">
      <c r="J524" s="58"/>
      <c r="W524" s="58"/>
      <c r="X524" s="59"/>
      <c r="Y524" s="173"/>
      <c r="Z524" s="173"/>
    </row>
    <row r="525" spans="10:26" ht="16.5" customHeight="1">
      <c r="J525" s="58"/>
      <c r="W525" s="58"/>
      <c r="X525" s="59"/>
      <c r="Y525" s="173"/>
      <c r="Z525" s="173"/>
    </row>
    <row r="526" spans="10:26" ht="16.5" customHeight="1">
      <c r="J526" s="58"/>
      <c r="W526" s="58"/>
      <c r="X526" s="59"/>
      <c r="Y526" s="173"/>
      <c r="Z526" s="173"/>
    </row>
    <row r="527" spans="10:26" ht="16.5" customHeight="1">
      <c r="J527" s="58"/>
      <c r="W527" s="58"/>
      <c r="X527" s="59"/>
      <c r="Y527" s="173"/>
      <c r="Z527" s="173"/>
    </row>
    <row r="528" spans="10:26" ht="16.5" customHeight="1">
      <c r="J528" s="58"/>
      <c r="W528" s="58"/>
      <c r="X528" s="59"/>
      <c r="Y528" s="173"/>
      <c r="Z528" s="173"/>
    </row>
    <row r="529" spans="10:26" ht="16.5" customHeight="1">
      <c r="J529" s="58"/>
      <c r="W529" s="58"/>
      <c r="X529" s="59"/>
      <c r="Y529" s="173"/>
      <c r="Z529" s="173"/>
    </row>
    <row r="530" spans="10:26" ht="16.5" customHeight="1">
      <c r="J530" s="58"/>
      <c r="W530" s="58"/>
      <c r="X530" s="59"/>
      <c r="Y530" s="173"/>
      <c r="Z530" s="173"/>
    </row>
    <row r="531" spans="10:26" ht="16.5" customHeight="1">
      <c r="J531" s="58"/>
      <c r="W531" s="58"/>
      <c r="X531" s="59"/>
      <c r="Y531" s="173"/>
      <c r="Z531" s="173"/>
    </row>
    <row r="532" spans="10:26" ht="16.5" customHeight="1">
      <c r="J532" s="58"/>
      <c r="W532" s="58"/>
      <c r="X532" s="59"/>
      <c r="Y532" s="173"/>
      <c r="Z532" s="173"/>
    </row>
    <row r="533" spans="10:26" ht="16.5" customHeight="1">
      <c r="J533" s="58"/>
      <c r="W533" s="58"/>
      <c r="X533" s="59"/>
      <c r="Y533" s="173"/>
      <c r="Z533" s="173"/>
    </row>
    <row r="534" spans="10:26" ht="16.5" customHeight="1">
      <c r="J534" s="58"/>
      <c r="W534" s="58"/>
      <c r="X534" s="59"/>
      <c r="Y534" s="173"/>
      <c r="Z534" s="173"/>
    </row>
    <row r="535" spans="10:26" ht="16.5" customHeight="1">
      <c r="J535" s="58"/>
      <c r="W535" s="58"/>
      <c r="X535" s="59"/>
      <c r="Y535" s="173"/>
      <c r="Z535" s="173"/>
    </row>
    <row r="536" spans="10:26" ht="16.5" customHeight="1">
      <c r="J536" s="58"/>
      <c r="W536" s="58"/>
      <c r="X536" s="59"/>
      <c r="Y536" s="173"/>
      <c r="Z536" s="173"/>
    </row>
    <row r="537" spans="10:26" ht="16.5" customHeight="1">
      <c r="J537" s="58"/>
      <c r="W537" s="58"/>
      <c r="X537" s="59"/>
      <c r="Y537" s="173"/>
      <c r="Z537" s="173"/>
    </row>
    <row r="538" spans="10:26" ht="16.5" customHeight="1">
      <c r="J538" s="58"/>
      <c r="W538" s="58"/>
      <c r="X538" s="59"/>
      <c r="Y538" s="173"/>
      <c r="Z538" s="173"/>
    </row>
    <row r="539" spans="10:26" ht="16.5" customHeight="1">
      <c r="J539" s="58"/>
      <c r="W539" s="58"/>
      <c r="X539" s="59"/>
      <c r="Y539" s="173"/>
      <c r="Z539" s="173"/>
    </row>
    <row r="540" spans="10:26" ht="16.5" customHeight="1">
      <c r="J540" s="58"/>
      <c r="W540" s="58"/>
      <c r="X540" s="59"/>
      <c r="Y540" s="173"/>
      <c r="Z540" s="173"/>
    </row>
    <row r="541" spans="10:26" ht="16.5" customHeight="1">
      <c r="J541" s="58"/>
      <c r="W541" s="58"/>
      <c r="X541" s="59"/>
      <c r="Y541" s="173"/>
      <c r="Z541" s="173"/>
    </row>
    <row r="542" spans="10:26" ht="16.5" customHeight="1">
      <c r="J542" s="58"/>
      <c r="W542" s="58"/>
      <c r="X542" s="59"/>
      <c r="Y542" s="173"/>
      <c r="Z542" s="173"/>
    </row>
    <row r="543" spans="10:26" ht="16.5" customHeight="1">
      <c r="J543" s="58"/>
      <c r="W543" s="58"/>
      <c r="X543" s="59"/>
      <c r="Y543" s="173"/>
      <c r="Z543" s="173"/>
    </row>
    <row r="544" spans="10:26" ht="16.5" customHeight="1">
      <c r="J544" s="58"/>
      <c r="W544" s="58"/>
      <c r="X544" s="59"/>
      <c r="Y544" s="173"/>
      <c r="Z544" s="173"/>
    </row>
    <row r="545" spans="10:26" ht="16.5" customHeight="1">
      <c r="J545" s="58"/>
      <c r="W545" s="58"/>
      <c r="X545" s="59"/>
      <c r="Y545" s="173"/>
      <c r="Z545" s="173"/>
    </row>
    <row r="546" spans="10:26" ht="16.5" customHeight="1">
      <c r="J546" s="58"/>
      <c r="W546" s="58"/>
      <c r="X546" s="59"/>
      <c r="Y546" s="173"/>
      <c r="Z546" s="173"/>
    </row>
    <row r="547" spans="10:26" ht="16.5" customHeight="1">
      <c r="J547" s="58"/>
      <c r="W547" s="58"/>
      <c r="X547" s="59"/>
      <c r="Y547" s="173"/>
      <c r="Z547" s="173"/>
    </row>
    <row r="548" spans="10:26" ht="16.5" customHeight="1">
      <c r="J548" s="58"/>
      <c r="W548" s="58"/>
      <c r="X548" s="59"/>
      <c r="Y548" s="173"/>
      <c r="Z548" s="173"/>
    </row>
    <row r="549" spans="10:26" ht="16.5" customHeight="1">
      <c r="J549" s="58"/>
      <c r="W549" s="58"/>
      <c r="X549" s="59"/>
      <c r="Y549" s="173"/>
      <c r="Z549" s="173"/>
    </row>
    <row r="550" spans="10:26" ht="16.5" customHeight="1">
      <c r="J550" s="58"/>
      <c r="W550" s="58"/>
      <c r="X550" s="59"/>
      <c r="Y550" s="173"/>
      <c r="Z550" s="173"/>
    </row>
    <row r="551" spans="10:26" ht="16.5" customHeight="1">
      <c r="J551" s="58"/>
      <c r="W551" s="58"/>
      <c r="X551" s="59"/>
      <c r="Y551" s="173"/>
      <c r="Z551" s="173"/>
    </row>
    <row r="552" spans="10:26" ht="16.5" customHeight="1">
      <c r="J552" s="58"/>
      <c r="W552" s="58"/>
      <c r="X552" s="59"/>
      <c r="Y552" s="173"/>
      <c r="Z552" s="173"/>
    </row>
    <row r="553" spans="10:26" ht="16.5" customHeight="1">
      <c r="J553" s="58"/>
      <c r="W553" s="58"/>
      <c r="X553" s="59"/>
      <c r="Y553" s="173"/>
      <c r="Z553" s="173"/>
    </row>
    <row r="554" spans="10:26" ht="16.5" customHeight="1">
      <c r="J554" s="58"/>
      <c r="W554" s="58"/>
      <c r="X554" s="59"/>
      <c r="Y554" s="173"/>
      <c r="Z554" s="173"/>
    </row>
    <row r="555" spans="10:26" ht="16.5" customHeight="1">
      <c r="J555" s="58"/>
      <c r="W555" s="58"/>
      <c r="X555" s="59"/>
      <c r="Y555" s="173"/>
      <c r="Z555" s="173"/>
    </row>
    <row r="556" spans="10:26" ht="16.5" customHeight="1">
      <c r="J556" s="58"/>
      <c r="W556" s="58"/>
      <c r="X556" s="59"/>
      <c r="Y556" s="173"/>
      <c r="Z556" s="173"/>
    </row>
    <row r="557" spans="10:26" ht="16.5" customHeight="1">
      <c r="J557" s="58"/>
      <c r="W557" s="58"/>
      <c r="X557" s="59"/>
      <c r="Y557" s="173"/>
      <c r="Z557" s="173"/>
    </row>
    <row r="558" spans="10:26" ht="16.5" customHeight="1">
      <c r="J558" s="58"/>
      <c r="W558" s="58"/>
      <c r="X558" s="59"/>
      <c r="Y558" s="173"/>
      <c r="Z558" s="173"/>
    </row>
    <row r="559" spans="10:26" ht="16.5" customHeight="1">
      <c r="J559" s="58"/>
      <c r="W559" s="58"/>
      <c r="X559" s="59"/>
      <c r="Y559" s="173"/>
      <c r="Z559" s="173"/>
    </row>
    <row r="560" spans="10:26" ht="16.5" customHeight="1">
      <c r="J560" s="58"/>
      <c r="W560" s="58"/>
      <c r="X560" s="59"/>
      <c r="Y560" s="173"/>
      <c r="Z560" s="173"/>
    </row>
    <row r="561" spans="10:26" ht="16.5" customHeight="1">
      <c r="J561" s="58"/>
      <c r="W561" s="58"/>
      <c r="X561" s="59"/>
      <c r="Y561" s="173"/>
      <c r="Z561" s="173"/>
    </row>
    <row r="562" spans="10:26" ht="16.5" customHeight="1">
      <c r="J562" s="58"/>
      <c r="W562" s="58"/>
      <c r="X562" s="59"/>
      <c r="Y562" s="173"/>
      <c r="Z562" s="173"/>
    </row>
    <row r="563" spans="10:26" ht="16.5" customHeight="1">
      <c r="J563" s="58"/>
      <c r="W563" s="58"/>
      <c r="X563" s="59"/>
      <c r="Y563" s="173"/>
      <c r="Z563" s="173"/>
    </row>
    <row r="564" spans="10:26" ht="16.5" customHeight="1">
      <c r="J564" s="58"/>
      <c r="W564" s="58"/>
      <c r="X564" s="59"/>
      <c r="Y564" s="173"/>
      <c r="Z564" s="173"/>
    </row>
    <row r="565" spans="10:26" ht="16.5" customHeight="1">
      <c r="J565" s="58"/>
      <c r="W565" s="58"/>
      <c r="X565" s="59"/>
      <c r="Y565" s="173"/>
      <c r="Z565" s="173"/>
    </row>
    <row r="566" spans="10:26" ht="16.5" customHeight="1">
      <c r="J566" s="58"/>
      <c r="W566" s="58"/>
      <c r="X566" s="59"/>
      <c r="Y566" s="173"/>
      <c r="Z566" s="173"/>
    </row>
    <row r="567" spans="10:26" ht="16.5" customHeight="1">
      <c r="J567" s="58"/>
      <c r="W567" s="58"/>
      <c r="X567" s="59"/>
      <c r="Y567" s="173"/>
      <c r="Z567" s="173"/>
    </row>
    <row r="568" spans="10:26" ht="16.5" customHeight="1">
      <c r="J568" s="58"/>
      <c r="W568" s="58"/>
      <c r="X568" s="59"/>
      <c r="Y568" s="173"/>
      <c r="Z568" s="173"/>
    </row>
    <row r="569" spans="10:26" ht="16.5" customHeight="1">
      <c r="J569" s="58"/>
      <c r="W569" s="58"/>
      <c r="X569" s="59"/>
      <c r="Y569" s="173"/>
      <c r="Z569" s="173"/>
    </row>
    <row r="570" spans="10:26" ht="16.5" customHeight="1">
      <c r="J570" s="58"/>
      <c r="W570" s="58"/>
      <c r="X570" s="59"/>
      <c r="Y570" s="173"/>
      <c r="Z570" s="173"/>
    </row>
    <row r="571" spans="10:26" ht="16.5" customHeight="1">
      <c r="J571" s="58"/>
      <c r="W571" s="58"/>
      <c r="X571" s="59"/>
      <c r="Y571" s="173"/>
      <c r="Z571" s="173"/>
    </row>
    <row r="572" spans="10:26" ht="16.5" customHeight="1">
      <c r="J572" s="58"/>
      <c r="W572" s="58"/>
      <c r="X572" s="59"/>
      <c r="Y572" s="173"/>
      <c r="Z572" s="173"/>
    </row>
    <row r="573" spans="10:26" ht="16.5" customHeight="1">
      <c r="J573" s="58"/>
      <c r="W573" s="58"/>
      <c r="X573" s="59"/>
      <c r="Y573" s="173"/>
      <c r="Z573" s="173"/>
    </row>
    <row r="574" spans="10:26" ht="16.5" customHeight="1">
      <c r="J574" s="58"/>
      <c r="W574" s="58"/>
      <c r="X574" s="59"/>
      <c r="Y574" s="173"/>
      <c r="Z574" s="173"/>
    </row>
    <row r="575" spans="10:26" ht="16.5" customHeight="1">
      <c r="J575" s="58"/>
      <c r="W575" s="58"/>
      <c r="X575" s="59"/>
      <c r="Y575" s="173"/>
      <c r="Z575" s="173"/>
    </row>
    <row r="576" spans="10:26" ht="16.5" customHeight="1">
      <c r="J576" s="58"/>
      <c r="W576" s="58"/>
      <c r="X576" s="59"/>
      <c r="Y576" s="173"/>
      <c r="Z576" s="173"/>
    </row>
    <row r="577" spans="10:26" ht="16.5" customHeight="1">
      <c r="J577" s="58"/>
      <c r="W577" s="58"/>
      <c r="X577" s="59"/>
      <c r="Y577" s="173"/>
      <c r="Z577" s="173"/>
    </row>
    <row r="578" spans="10:26" ht="16.5" customHeight="1">
      <c r="J578" s="58"/>
      <c r="W578" s="58"/>
      <c r="X578" s="59"/>
      <c r="Y578" s="173"/>
      <c r="Z578" s="173"/>
    </row>
    <row r="579" spans="10:26" ht="16.5" customHeight="1">
      <c r="J579" s="58"/>
      <c r="W579" s="58"/>
      <c r="X579" s="59"/>
      <c r="Y579" s="173"/>
      <c r="Z579" s="173"/>
    </row>
    <row r="580" spans="10:26" ht="16.5" customHeight="1">
      <c r="J580" s="58"/>
      <c r="W580" s="58"/>
      <c r="X580" s="59"/>
      <c r="Y580" s="173"/>
      <c r="Z580" s="173"/>
    </row>
    <row r="581" spans="10:26" ht="16.5" customHeight="1">
      <c r="J581" s="58"/>
      <c r="W581" s="58"/>
      <c r="X581" s="59"/>
      <c r="Y581" s="173"/>
      <c r="Z581" s="173"/>
    </row>
    <row r="582" spans="10:26" ht="16.5" customHeight="1">
      <c r="J582" s="58"/>
      <c r="W582" s="58"/>
      <c r="X582" s="59"/>
      <c r="Y582" s="173"/>
      <c r="Z582" s="173"/>
    </row>
    <row r="583" spans="10:26" ht="16.5" customHeight="1">
      <c r="J583" s="58"/>
      <c r="W583" s="58"/>
      <c r="X583" s="59"/>
      <c r="Y583" s="173"/>
      <c r="Z583" s="173"/>
    </row>
    <row r="584" spans="10:26" ht="16.5" customHeight="1">
      <c r="J584" s="58"/>
      <c r="W584" s="58"/>
      <c r="X584" s="59"/>
      <c r="Y584" s="173"/>
      <c r="Z584" s="173"/>
    </row>
    <row r="585" spans="10:26" ht="16.5" customHeight="1">
      <c r="J585" s="58"/>
      <c r="W585" s="58"/>
      <c r="X585" s="59"/>
      <c r="Y585" s="173"/>
      <c r="Z585" s="173"/>
    </row>
    <row r="586" spans="10:26" ht="16.5" customHeight="1">
      <c r="J586" s="58"/>
      <c r="W586" s="58"/>
      <c r="X586" s="59"/>
      <c r="Y586" s="173"/>
      <c r="Z586" s="173"/>
    </row>
    <row r="587" spans="10:26" ht="16.5" customHeight="1">
      <c r="J587" s="58"/>
      <c r="W587" s="58"/>
      <c r="X587" s="59"/>
      <c r="Y587" s="173"/>
      <c r="Z587" s="173"/>
    </row>
    <row r="588" spans="10:26" ht="16.5" customHeight="1">
      <c r="J588" s="58"/>
      <c r="W588" s="58"/>
      <c r="X588" s="59"/>
      <c r="Y588" s="173"/>
      <c r="Z588" s="173"/>
    </row>
    <row r="589" spans="10:26" ht="16.5" customHeight="1">
      <c r="J589" s="58"/>
      <c r="W589" s="58"/>
      <c r="X589" s="59"/>
      <c r="Y589" s="173"/>
      <c r="Z589" s="173"/>
    </row>
    <row r="590" spans="10:26" ht="16.5" customHeight="1">
      <c r="J590" s="58"/>
      <c r="W590" s="58"/>
      <c r="X590" s="59"/>
      <c r="Y590" s="173"/>
      <c r="Z590" s="173"/>
    </row>
    <row r="591" spans="10:26" ht="16.5" customHeight="1">
      <c r="J591" s="58"/>
      <c r="W591" s="58"/>
      <c r="X591" s="59"/>
      <c r="Y591" s="173"/>
      <c r="Z591" s="173"/>
    </row>
    <row r="592" spans="10:26" ht="16.5" customHeight="1">
      <c r="J592" s="58"/>
      <c r="W592" s="58"/>
      <c r="X592" s="59"/>
      <c r="Y592" s="173"/>
      <c r="Z592" s="173"/>
    </row>
    <row r="593" spans="10:26" ht="16.5" customHeight="1">
      <c r="J593" s="58"/>
      <c r="W593" s="58"/>
      <c r="X593" s="59"/>
      <c r="Y593" s="173"/>
      <c r="Z593" s="173"/>
    </row>
    <row r="594" spans="10:26" ht="16.5" customHeight="1">
      <c r="J594" s="58"/>
      <c r="W594" s="58"/>
      <c r="X594" s="59"/>
      <c r="Y594" s="173"/>
      <c r="Z594" s="173"/>
    </row>
    <row r="595" spans="10:26" ht="16.5" customHeight="1">
      <c r="J595" s="58"/>
      <c r="W595" s="58"/>
      <c r="X595" s="59"/>
      <c r="Y595" s="173"/>
      <c r="Z595" s="173"/>
    </row>
    <row r="596" spans="10:26" ht="16.5" customHeight="1">
      <c r="J596" s="58"/>
      <c r="W596" s="58"/>
      <c r="X596" s="59"/>
      <c r="Y596" s="173"/>
      <c r="Z596" s="173"/>
    </row>
    <row r="597" spans="10:26" ht="16.5" customHeight="1">
      <c r="J597" s="58"/>
      <c r="W597" s="58"/>
      <c r="X597" s="59"/>
      <c r="Y597" s="173"/>
      <c r="Z597" s="173"/>
    </row>
    <row r="598" spans="10:26" ht="16.5" customHeight="1">
      <c r="J598" s="58"/>
      <c r="W598" s="58"/>
      <c r="X598" s="59"/>
      <c r="Y598" s="173"/>
      <c r="Z598" s="173"/>
    </row>
    <row r="599" spans="10:26" ht="16.5" customHeight="1">
      <c r="J599" s="58"/>
      <c r="W599" s="58"/>
      <c r="X599" s="59"/>
      <c r="Y599" s="173"/>
      <c r="Z599" s="173"/>
    </row>
    <row r="600" spans="10:26" ht="16.5" customHeight="1">
      <c r="J600" s="58"/>
      <c r="W600" s="58"/>
      <c r="X600" s="59"/>
      <c r="Y600" s="173"/>
      <c r="Z600" s="173"/>
    </row>
    <row r="601" spans="10:26" ht="16.5" customHeight="1">
      <c r="J601" s="58"/>
      <c r="W601" s="58"/>
      <c r="X601" s="59"/>
      <c r="Y601" s="173"/>
      <c r="Z601" s="173"/>
    </row>
    <row r="602" spans="10:26" ht="16.5" customHeight="1">
      <c r="J602" s="58"/>
      <c r="W602" s="58"/>
      <c r="X602" s="59"/>
      <c r="Y602" s="173"/>
      <c r="Z602" s="173"/>
    </row>
    <row r="603" spans="10:26" ht="16.5" customHeight="1">
      <c r="J603" s="58"/>
      <c r="W603" s="58"/>
      <c r="X603" s="59"/>
      <c r="Y603" s="173"/>
      <c r="Z603" s="173"/>
    </row>
    <row r="604" spans="10:26" ht="16.5" customHeight="1">
      <c r="J604" s="58"/>
      <c r="W604" s="58"/>
      <c r="X604" s="59"/>
      <c r="Y604" s="173"/>
      <c r="Z604" s="173"/>
    </row>
    <row r="605" spans="10:26" ht="16.5" customHeight="1">
      <c r="J605" s="58"/>
      <c r="W605" s="58"/>
      <c r="X605" s="59"/>
      <c r="Y605" s="173"/>
      <c r="Z605" s="173"/>
    </row>
    <row r="606" spans="10:26" ht="16.5" customHeight="1">
      <c r="J606" s="58"/>
      <c r="W606" s="58"/>
      <c r="X606" s="59"/>
      <c r="Y606" s="173"/>
      <c r="Z606" s="173"/>
    </row>
    <row r="607" spans="10:26" ht="16.5" customHeight="1">
      <c r="J607" s="58"/>
      <c r="W607" s="58"/>
      <c r="X607" s="59"/>
      <c r="Y607" s="173"/>
      <c r="Z607" s="173"/>
    </row>
    <row r="608" spans="10:26" ht="16.5" customHeight="1">
      <c r="J608" s="58"/>
      <c r="W608" s="58"/>
      <c r="X608" s="59"/>
      <c r="Y608" s="173"/>
      <c r="Z608" s="173"/>
    </row>
    <row r="609" spans="10:26" ht="16.5" customHeight="1">
      <c r="J609" s="58"/>
      <c r="W609" s="58"/>
      <c r="X609" s="59"/>
      <c r="Y609" s="173"/>
      <c r="Z609" s="173"/>
    </row>
    <row r="610" spans="10:26" ht="16.5" customHeight="1">
      <c r="J610" s="58"/>
      <c r="W610" s="58"/>
      <c r="X610" s="59"/>
      <c r="Y610" s="173"/>
      <c r="Z610" s="173"/>
    </row>
    <row r="611" spans="10:26" ht="16.5" customHeight="1">
      <c r="J611" s="58"/>
      <c r="W611" s="58"/>
      <c r="X611" s="59"/>
      <c r="Y611" s="173"/>
      <c r="Z611" s="173"/>
    </row>
    <row r="612" spans="10:26" ht="16.5" customHeight="1">
      <c r="J612" s="58"/>
      <c r="W612" s="58"/>
      <c r="X612" s="59"/>
      <c r="Y612" s="173"/>
      <c r="Z612" s="173"/>
    </row>
    <row r="613" spans="10:26" ht="16.5" customHeight="1">
      <c r="J613" s="58"/>
      <c r="W613" s="58"/>
      <c r="X613" s="59"/>
      <c r="Y613" s="173"/>
      <c r="Z613" s="173"/>
    </row>
    <row r="614" spans="10:26" ht="16.5" customHeight="1">
      <c r="J614" s="58"/>
      <c r="W614" s="58"/>
      <c r="X614" s="59"/>
      <c r="Y614" s="173"/>
      <c r="Z614" s="173"/>
    </row>
    <row r="615" spans="10:26" ht="16.5" customHeight="1">
      <c r="J615" s="58"/>
      <c r="W615" s="58"/>
      <c r="X615" s="59"/>
      <c r="Y615" s="173"/>
      <c r="Z615" s="173"/>
    </row>
    <row r="616" spans="10:26" ht="16.5" customHeight="1">
      <c r="J616" s="58"/>
      <c r="W616" s="58"/>
      <c r="X616" s="59"/>
      <c r="Y616" s="173"/>
      <c r="Z616" s="173"/>
    </row>
    <row r="617" spans="10:26" ht="16.5" customHeight="1">
      <c r="J617" s="58"/>
      <c r="W617" s="58"/>
      <c r="X617" s="59"/>
      <c r="Y617" s="173"/>
      <c r="Z617" s="173"/>
    </row>
    <row r="618" spans="10:26" ht="16.5" customHeight="1">
      <c r="J618" s="58"/>
      <c r="W618" s="58"/>
      <c r="X618" s="59"/>
      <c r="Y618" s="173"/>
      <c r="Z618" s="173"/>
    </row>
    <row r="619" spans="10:26" ht="16.5" customHeight="1">
      <c r="J619" s="58"/>
      <c r="W619" s="58"/>
      <c r="X619" s="59"/>
      <c r="Y619" s="173"/>
      <c r="Z619" s="173"/>
    </row>
    <row r="620" spans="10:26" ht="16.5" customHeight="1">
      <c r="J620" s="58"/>
      <c r="W620" s="58"/>
      <c r="X620" s="59"/>
      <c r="Y620" s="173"/>
      <c r="Z620" s="173"/>
    </row>
    <row r="621" spans="10:26" ht="16.5" customHeight="1">
      <c r="J621" s="58"/>
      <c r="W621" s="58"/>
      <c r="X621" s="59"/>
      <c r="Y621" s="173"/>
      <c r="Z621" s="173"/>
    </row>
    <row r="622" spans="10:26" ht="16.5" customHeight="1">
      <c r="J622" s="58"/>
      <c r="W622" s="58"/>
      <c r="X622" s="59"/>
      <c r="Y622" s="173"/>
      <c r="Z622" s="173"/>
    </row>
    <row r="623" spans="10:26" ht="16.5" customHeight="1">
      <c r="J623" s="58"/>
      <c r="W623" s="58"/>
      <c r="X623" s="59"/>
      <c r="Y623" s="173"/>
      <c r="Z623" s="173"/>
    </row>
    <row r="624" spans="10:26" ht="16.5" customHeight="1">
      <c r="J624" s="58"/>
      <c r="W624" s="58"/>
      <c r="X624" s="59"/>
      <c r="Y624" s="173"/>
      <c r="Z624" s="173"/>
    </row>
    <row r="625" spans="10:26" ht="16.5" customHeight="1">
      <c r="J625" s="58"/>
      <c r="W625" s="58"/>
      <c r="X625" s="59"/>
      <c r="Y625" s="173"/>
      <c r="Z625" s="173"/>
    </row>
    <row r="626" spans="10:26" ht="16.5" customHeight="1">
      <c r="J626" s="58"/>
      <c r="W626" s="58"/>
      <c r="X626" s="59"/>
      <c r="Y626" s="173"/>
      <c r="Z626" s="173"/>
    </row>
    <row r="627" spans="10:26" ht="16.5" customHeight="1">
      <c r="J627" s="58"/>
      <c r="W627" s="58"/>
      <c r="X627" s="59"/>
      <c r="Y627" s="173"/>
      <c r="Z627" s="173"/>
    </row>
    <row r="628" spans="10:26" ht="16.5" customHeight="1">
      <c r="J628" s="58"/>
      <c r="W628" s="58"/>
      <c r="X628" s="59"/>
      <c r="Y628" s="173"/>
      <c r="Z628" s="173"/>
    </row>
    <row r="629" spans="10:26" ht="16.5" customHeight="1">
      <c r="J629" s="58"/>
      <c r="W629" s="58"/>
      <c r="X629" s="59"/>
      <c r="Y629" s="173"/>
      <c r="Z629" s="173"/>
    </row>
    <row r="630" spans="10:26" ht="16.5" customHeight="1">
      <c r="J630" s="58"/>
      <c r="W630" s="58"/>
      <c r="X630" s="59"/>
      <c r="Y630" s="173"/>
      <c r="Z630" s="173"/>
    </row>
    <row r="631" spans="10:26" ht="16.5" customHeight="1">
      <c r="J631" s="58"/>
      <c r="W631" s="58"/>
      <c r="X631" s="59"/>
      <c r="Y631" s="173"/>
      <c r="Z631" s="173"/>
    </row>
    <row r="632" spans="10:26" ht="16.5" customHeight="1">
      <c r="J632" s="58"/>
      <c r="W632" s="58"/>
      <c r="X632" s="59"/>
      <c r="Y632" s="173"/>
      <c r="Z632" s="173"/>
    </row>
    <row r="633" spans="10:26" ht="16.5" customHeight="1">
      <c r="J633" s="58"/>
      <c r="W633" s="58"/>
      <c r="X633" s="59"/>
      <c r="Y633" s="173"/>
      <c r="Z633" s="173"/>
    </row>
    <row r="634" spans="10:26" ht="16.5" customHeight="1">
      <c r="J634" s="58"/>
      <c r="W634" s="58"/>
      <c r="X634" s="59"/>
      <c r="Y634" s="173"/>
      <c r="Z634" s="173"/>
    </row>
    <row r="635" spans="10:26" ht="16.5" customHeight="1">
      <c r="J635" s="58"/>
      <c r="W635" s="58"/>
      <c r="X635" s="59"/>
      <c r="Y635" s="173"/>
      <c r="Z635" s="173"/>
    </row>
    <row r="636" spans="10:26" ht="16.5" customHeight="1">
      <c r="J636" s="58"/>
      <c r="W636" s="58"/>
      <c r="X636" s="59"/>
      <c r="Y636" s="173"/>
      <c r="Z636" s="173"/>
    </row>
    <row r="637" spans="10:26" ht="16.5" customHeight="1">
      <c r="J637" s="58"/>
      <c r="W637" s="58"/>
      <c r="X637" s="59"/>
      <c r="Y637" s="173"/>
      <c r="Z637" s="173"/>
    </row>
    <row r="638" spans="10:26" ht="16.5" customHeight="1">
      <c r="J638" s="58"/>
      <c r="W638" s="58"/>
      <c r="X638" s="59"/>
      <c r="Y638" s="173"/>
      <c r="Z638" s="173"/>
    </row>
    <row r="639" spans="10:26" ht="16.5" customHeight="1">
      <c r="J639" s="58"/>
      <c r="W639" s="58"/>
      <c r="X639" s="59"/>
      <c r="Y639" s="173"/>
      <c r="Z639" s="173"/>
    </row>
    <row r="640" spans="10:26" ht="16.5" customHeight="1">
      <c r="J640" s="58"/>
      <c r="W640" s="58"/>
      <c r="X640" s="59"/>
      <c r="Y640" s="173"/>
      <c r="Z640" s="173"/>
    </row>
    <row r="641" spans="10:26" ht="16.5" customHeight="1">
      <c r="J641" s="58"/>
      <c r="W641" s="58"/>
      <c r="X641" s="59"/>
      <c r="Y641" s="173"/>
      <c r="Z641" s="173"/>
    </row>
    <row r="642" spans="10:26" ht="16.5" customHeight="1">
      <c r="J642" s="58"/>
      <c r="W642" s="58"/>
      <c r="X642" s="59"/>
      <c r="Y642" s="173"/>
      <c r="Z642" s="173"/>
    </row>
    <row r="643" spans="10:26" ht="16.5" customHeight="1">
      <c r="J643" s="58"/>
      <c r="W643" s="58"/>
      <c r="X643" s="59"/>
      <c r="Y643" s="173"/>
      <c r="Z643" s="173"/>
    </row>
    <row r="644" spans="10:26" ht="16.5" customHeight="1">
      <c r="J644" s="58"/>
      <c r="W644" s="58"/>
      <c r="X644" s="59"/>
      <c r="Y644" s="173"/>
      <c r="Z644" s="173"/>
    </row>
    <row r="645" spans="10:26" ht="16.5" customHeight="1">
      <c r="J645" s="58"/>
      <c r="W645" s="58"/>
      <c r="X645" s="59"/>
      <c r="Y645" s="173"/>
      <c r="Z645" s="173"/>
    </row>
    <row r="646" spans="10:26" ht="16.5" customHeight="1">
      <c r="J646" s="58"/>
      <c r="W646" s="58"/>
      <c r="X646" s="59"/>
      <c r="Y646" s="173"/>
      <c r="Z646" s="173"/>
    </row>
    <row r="647" spans="10:26" ht="16.5" customHeight="1">
      <c r="J647" s="58"/>
      <c r="W647" s="58"/>
      <c r="X647" s="59"/>
      <c r="Y647" s="173"/>
      <c r="Z647" s="173"/>
    </row>
    <row r="648" spans="10:26" ht="16.5" customHeight="1">
      <c r="J648" s="58"/>
      <c r="W648" s="58"/>
      <c r="X648" s="59"/>
      <c r="Y648" s="173"/>
      <c r="Z648" s="173"/>
    </row>
    <row r="649" spans="10:26" ht="16.5" customHeight="1">
      <c r="J649" s="58"/>
      <c r="W649" s="58"/>
      <c r="X649" s="59"/>
      <c r="Y649" s="173"/>
      <c r="Z649" s="173"/>
    </row>
    <row r="650" spans="10:26" ht="16.5" customHeight="1">
      <c r="J650" s="58"/>
      <c r="W650" s="58"/>
      <c r="X650" s="59"/>
      <c r="Y650" s="173"/>
      <c r="Z650" s="173"/>
    </row>
    <row r="651" spans="10:26" ht="16.5" customHeight="1">
      <c r="J651" s="58"/>
      <c r="W651" s="58"/>
      <c r="X651" s="59"/>
      <c r="Y651" s="173"/>
      <c r="Z651" s="173"/>
    </row>
    <row r="652" spans="10:26" ht="16.5" customHeight="1">
      <c r="J652" s="58"/>
      <c r="W652" s="58"/>
      <c r="X652" s="59"/>
      <c r="Y652" s="173"/>
      <c r="Z652" s="173"/>
    </row>
    <row r="653" spans="10:26" ht="16.5" customHeight="1">
      <c r="J653" s="58"/>
      <c r="W653" s="58"/>
      <c r="X653" s="59"/>
      <c r="Y653" s="173"/>
      <c r="Z653" s="173"/>
    </row>
    <row r="654" spans="10:26" ht="16.5" customHeight="1">
      <c r="J654" s="58"/>
      <c r="W654" s="58"/>
      <c r="X654" s="59"/>
      <c r="Y654" s="173"/>
      <c r="Z654" s="173"/>
    </row>
    <row r="655" spans="10:26" ht="16.5" customHeight="1">
      <c r="J655" s="58"/>
      <c r="W655" s="58"/>
      <c r="X655" s="59"/>
      <c r="Y655" s="173"/>
      <c r="Z655" s="173"/>
    </row>
    <row r="656" spans="10:26" ht="16.5" customHeight="1">
      <c r="J656" s="58"/>
      <c r="W656" s="58"/>
      <c r="X656" s="59"/>
      <c r="Y656" s="173"/>
      <c r="Z656" s="173"/>
    </row>
    <row r="657" spans="10:26" ht="16.5" customHeight="1">
      <c r="J657" s="58"/>
      <c r="W657" s="58"/>
      <c r="X657" s="59"/>
      <c r="Y657" s="173"/>
      <c r="Z657" s="173"/>
    </row>
    <row r="658" spans="10:26" ht="16.5" customHeight="1">
      <c r="J658" s="58"/>
      <c r="W658" s="58"/>
      <c r="X658" s="59"/>
      <c r="Y658" s="173"/>
      <c r="Z658" s="173"/>
    </row>
    <row r="659" spans="10:26" ht="16.5" customHeight="1">
      <c r="J659" s="58"/>
      <c r="W659" s="58"/>
      <c r="X659" s="59"/>
      <c r="Y659" s="173"/>
      <c r="Z659" s="173"/>
    </row>
    <row r="660" spans="10:26" ht="16.5" customHeight="1">
      <c r="J660" s="58"/>
      <c r="W660" s="58"/>
      <c r="X660" s="59"/>
      <c r="Y660" s="173"/>
      <c r="Z660" s="173"/>
    </row>
    <row r="661" spans="10:26" ht="16.5" customHeight="1">
      <c r="J661" s="58"/>
      <c r="W661" s="58"/>
      <c r="X661" s="59"/>
      <c r="Y661" s="173"/>
      <c r="Z661" s="173"/>
    </row>
    <row r="662" spans="10:26" ht="16.5" customHeight="1">
      <c r="J662" s="58"/>
      <c r="W662" s="58"/>
      <c r="X662" s="59"/>
      <c r="Y662" s="173"/>
      <c r="Z662" s="173"/>
    </row>
    <row r="663" spans="10:26" ht="16.5" customHeight="1">
      <c r="J663" s="58"/>
      <c r="W663" s="58"/>
      <c r="X663" s="59"/>
      <c r="Y663" s="173"/>
      <c r="Z663" s="173"/>
    </row>
    <row r="664" spans="10:26" ht="16.5" customHeight="1">
      <c r="J664" s="58"/>
      <c r="W664" s="58"/>
      <c r="X664" s="59"/>
      <c r="Y664" s="173"/>
      <c r="Z664" s="173"/>
    </row>
    <row r="665" spans="10:26" ht="16.5" customHeight="1">
      <c r="J665" s="58"/>
      <c r="W665" s="58"/>
      <c r="X665" s="59"/>
      <c r="Y665" s="173"/>
      <c r="Z665" s="173"/>
    </row>
    <row r="666" spans="10:26" ht="16.5" customHeight="1">
      <c r="J666" s="58"/>
      <c r="W666" s="58"/>
      <c r="X666" s="59"/>
      <c r="Y666" s="173"/>
      <c r="Z666" s="173"/>
    </row>
    <row r="667" spans="10:26" ht="16.5" customHeight="1">
      <c r="J667" s="58"/>
      <c r="W667" s="58"/>
      <c r="X667" s="59"/>
      <c r="Y667" s="173"/>
      <c r="Z667" s="173"/>
    </row>
    <row r="668" spans="10:26" ht="16.5" customHeight="1">
      <c r="J668" s="58"/>
      <c r="W668" s="58"/>
      <c r="X668" s="59"/>
      <c r="Y668" s="173"/>
      <c r="Z668" s="173"/>
    </row>
    <row r="669" spans="10:26" ht="16.5" customHeight="1">
      <c r="J669" s="58"/>
      <c r="W669" s="58"/>
      <c r="X669" s="59"/>
      <c r="Y669" s="173"/>
      <c r="Z669" s="173"/>
    </row>
    <row r="670" spans="10:26" ht="16.5" customHeight="1">
      <c r="J670" s="58"/>
      <c r="W670" s="58"/>
      <c r="X670" s="59"/>
      <c r="Y670" s="173"/>
      <c r="Z670" s="173"/>
    </row>
    <row r="671" spans="10:26" ht="16.5" customHeight="1">
      <c r="J671" s="58"/>
      <c r="W671" s="58"/>
      <c r="X671" s="59"/>
      <c r="Y671" s="173"/>
      <c r="Z671" s="173"/>
    </row>
    <row r="672" spans="10:26" ht="16.5" customHeight="1">
      <c r="J672" s="58"/>
      <c r="W672" s="58"/>
      <c r="X672" s="59"/>
      <c r="Y672" s="173"/>
      <c r="Z672" s="173"/>
    </row>
    <row r="673" spans="10:26" ht="16.5" customHeight="1">
      <c r="J673" s="58"/>
      <c r="W673" s="58"/>
      <c r="X673" s="59"/>
      <c r="Y673" s="173"/>
      <c r="Z673" s="173"/>
    </row>
    <row r="674" spans="10:26" ht="16.5" customHeight="1">
      <c r="J674" s="58"/>
      <c r="W674" s="58"/>
      <c r="X674" s="59"/>
      <c r="Y674" s="173"/>
      <c r="Z674" s="173"/>
    </row>
    <row r="675" spans="10:26" ht="16.5" customHeight="1">
      <c r="J675" s="58"/>
      <c r="W675" s="58"/>
      <c r="X675" s="59"/>
      <c r="Y675" s="173"/>
      <c r="Z675" s="173"/>
    </row>
    <row r="676" spans="10:26" ht="16.5" customHeight="1">
      <c r="J676" s="58"/>
      <c r="W676" s="58"/>
      <c r="X676" s="59"/>
      <c r="Y676" s="173"/>
      <c r="Z676" s="173"/>
    </row>
    <row r="677" spans="10:26" ht="16.5" customHeight="1">
      <c r="J677" s="58"/>
      <c r="W677" s="58"/>
      <c r="X677" s="59"/>
      <c r="Y677" s="173"/>
      <c r="Z677" s="173"/>
    </row>
    <row r="678" spans="10:26" ht="16.5" customHeight="1">
      <c r="J678" s="58"/>
      <c r="W678" s="58"/>
      <c r="X678" s="59"/>
      <c r="Y678" s="173"/>
      <c r="Z678" s="173"/>
    </row>
    <row r="679" spans="10:26" ht="16.5" customHeight="1">
      <c r="J679" s="58"/>
      <c r="W679" s="58"/>
      <c r="X679" s="59"/>
      <c r="Y679" s="173"/>
      <c r="Z679" s="173"/>
    </row>
    <row r="680" spans="10:26" ht="16.5" customHeight="1">
      <c r="J680" s="58"/>
      <c r="W680" s="58"/>
      <c r="X680" s="59"/>
      <c r="Y680" s="173"/>
      <c r="Z680" s="173"/>
    </row>
    <row r="681" spans="10:26" ht="16.5" customHeight="1">
      <c r="J681" s="58"/>
      <c r="W681" s="58"/>
      <c r="X681" s="59"/>
      <c r="Y681" s="173"/>
      <c r="Z681" s="173"/>
    </row>
    <row r="682" spans="10:26" ht="16.5" customHeight="1">
      <c r="J682" s="58"/>
      <c r="W682" s="58"/>
      <c r="X682" s="59"/>
      <c r="Y682" s="173"/>
      <c r="Z682" s="173"/>
    </row>
    <row r="683" spans="10:26" ht="16.5" customHeight="1">
      <c r="J683" s="58"/>
      <c r="W683" s="58"/>
      <c r="X683" s="59"/>
      <c r="Y683" s="173"/>
      <c r="Z683" s="173"/>
    </row>
    <row r="684" spans="10:26" ht="16.5" customHeight="1">
      <c r="J684" s="58"/>
      <c r="W684" s="58"/>
      <c r="X684" s="59"/>
      <c r="Y684" s="173"/>
      <c r="Z684" s="173"/>
    </row>
    <row r="685" spans="10:26" ht="16.5" customHeight="1">
      <c r="J685" s="58"/>
      <c r="W685" s="58"/>
      <c r="X685" s="59"/>
      <c r="Y685" s="173"/>
      <c r="Z685" s="173"/>
    </row>
    <row r="686" spans="10:26" ht="16.5" customHeight="1">
      <c r="J686" s="58"/>
      <c r="W686" s="58"/>
      <c r="X686" s="59"/>
      <c r="Y686" s="173"/>
      <c r="Z686" s="173"/>
    </row>
    <row r="687" spans="10:26" ht="16.5" customHeight="1">
      <c r="J687" s="58"/>
      <c r="W687" s="58"/>
      <c r="X687" s="59"/>
      <c r="Y687" s="173"/>
      <c r="Z687" s="173"/>
    </row>
    <row r="688" spans="10:26" ht="16.5" customHeight="1">
      <c r="J688" s="58"/>
      <c r="W688" s="58"/>
      <c r="X688" s="59"/>
      <c r="Y688" s="173"/>
      <c r="Z688" s="173"/>
    </row>
    <row r="689" spans="10:26" ht="16.5" customHeight="1">
      <c r="J689" s="58"/>
      <c r="W689" s="58"/>
      <c r="X689" s="59"/>
      <c r="Y689" s="173"/>
      <c r="Z689" s="173"/>
    </row>
    <row r="690" spans="10:26" ht="16.5" customHeight="1">
      <c r="J690" s="58"/>
      <c r="W690" s="58"/>
      <c r="X690" s="59"/>
      <c r="Y690" s="173"/>
      <c r="Z690" s="173"/>
    </row>
    <row r="691" spans="10:26" ht="16.5" customHeight="1">
      <c r="J691" s="58"/>
      <c r="W691" s="58"/>
      <c r="X691" s="59"/>
      <c r="Y691" s="173"/>
      <c r="Z691" s="173"/>
    </row>
    <row r="692" spans="10:26" ht="16.5" customHeight="1">
      <c r="J692" s="58"/>
      <c r="W692" s="58"/>
      <c r="X692" s="59"/>
      <c r="Y692" s="173"/>
      <c r="Z692" s="173"/>
    </row>
    <row r="693" spans="10:26" ht="16.5" customHeight="1">
      <c r="J693" s="58"/>
      <c r="W693" s="58"/>
      <c r="X693" s="59"/>
      <c r="Y693" s="173"/>
      <c r="Z693" s="173"/>
    </row>
    <row r="694" spans="10:26" ht="16.5" customHeight="1">
      <c r="J694" s="58"/>
      <c r="W694" s="58"/>
      <c r="X694" s="59"/>
      <c r="Y694" s="173"/>
      <c r="Z694" s="173"/>
    </row>
    <row r="695" spans="10:26" ht="16.5" customHeight="1">
      <c r="J695" s="58"/>
      <c r="W695" s="58"/>
      <c r="X695" s="59"/>
      <c r="Y695" s="173"/>
      <c r="Z695" s="173"/>
    </row>
    <row r="696" spans="10:26" ht="16.5" customHeight="1">
      <c r="J696" s="58"/>
      <c r="W696" s="58"/>
      <c r="X696" s="59"/>
      <c r="Y696" s="173"/>
      <c r="Z696" s="173"/>
    </row>
    <row r="697" spans="10:26" ht="16.5" customHeight="1">
      <c r="J697" s="58"/>
      <c r="W697" s="58"/>
      <c r="X697" s="59"/>
      <c r="Y697" s="173"/>
      <c r="Z697" s="173"/>
    </row>
    <row r="698" spans="10:26" ht="16.5" customHeight="1">
      <c r="J698" s="58"/>
      <c r="W698" s="58"/>
      <c r="X698" s="59"/>
      <c r="Y698" s="173"/>
      <c r="Z698" s="173"/>
    </row>
    <row r="699" spans="10:26" ht="16.5" customHeight="1">
      <c r="J699" s="58"/>
      <c r="W699" s="58"/>
      <c r="X699" s="59"/>
      <c r="Y699" s="173"/>
      <c r="Z699" s="173"/>
    </row>
    <row r="700" spans="10:26" ht="16.5" customHeight="1">
      <c r="J700" s="58"/>
      <c r="W700" s="58"/>
      <c r="X700" s="59"/>
      <c r="Y700" s="173"/>
      <c r="Z700" s="173"/>
    </row>
    <row r="701" spans="10:26" ht="16.5" customHeight="1">
      <c r="J701" s="58"/>
      <c r="W701" s="58"/>
      <c r="X701" s="59"/>
      <c r="Y701" s="173"/>
      <c r="Z701" s="173"/>
    </row>
    <row r="702" spans="10:26" ht="16.5" customHeight="1">
      <c r="J702" s="58"/>
      <c r="W702" s="58"/>
      <c r="X702" s="59"/>
      <c r="Y702" s="173"/>
      <c r="Z702" s="173"/>
    </row>
    <row r="703" spans="10:26" ht="16.5" customHeight="1">
      <c r="J703" s="58"/>
      <c r="W703" s="58"/>
      <c r="X703" s="59"/>
      <c r="Y703" s="173"/>
      <c r="Z703" s="173"/>
    </row>
    <row r="704" spans="10:26" ht="16.5" customHeight="1">
      <c r="J704" s="58"/>
      <c r="W704" s="58"/>
      <c r="X704" s="59"/>
      <c r="Y704" s="173"/>
      <c r="Z704" s="173"/>
    </row>
    <row r="705" spans="10:26" ht="16.5" customHeight="1">
      <c r="J705" s="58"/>
      <c r="W705" s="58"/>
      <c r="X705" s="59"/>
      <c r="Y705" s="173"/>
      <c r="Z705" s="173"/>
    </row>
    <row r="706" spans="10:26" ht="16.5" customHeight="1">
      <c r="J706" s="58"/>
      <c r="W706" s="58"/>
      <c r="X706" s="59"/>
      <c r="Y706" s="173"/>
      <c r="Z706" s="173"/>
    </row>
    <row r="707" spans="10:26" ht="16.5" customHeight="1">
      <c r="J707" s="58"/>
      <c r="W707" s="58"/>
      <c r="X707" s="59"/>
      <c r="Y707" s="173"/>
      <c r="Z707" s="173"/>
    </row>
    <row r="708" spans="10:26" ht="16.5" customHeight="1">
      <c r="J708" s="58"/>
      <c r="W708" s="58"/>
      <c r="X708" s="59"/>
      <c r="Y708" s="173"/>
      <c r="Z708" s="173"/>
    </row>
    <row r="709" spans="10:26" ht="16.5" customHeight="1">
      <c r="J709" s="58"/>
      <c r="W709" s="58"/>
      <c r="X709" s="59"/>
      <c r="Y709" s="173"/>
      <c r="Z709" s="173"/>
    </row>
    <row r="710" spans="10:26" ht="16.5" customHeight="1">
      <c r="J710" s="58"/>
      <c r="W710" s="58"/>
      <c r="X710" s="59"/>
      <c r="Y710" s="173"/>
      <c r="Z710" s="173"/>
    </row>
    <row r="711" spans="10:26" ht="16.5" customHeight="1">
      <c r="J711" s="58"/>
      <c r="W711" s="58"/>
      <c r="X711" s="59"/>
      <c r="Y711" s="173"/>
      <c r="Z711" s="173"/>
    </row>
    <row r="712" spans="10:26" ht="16.5" customHeight="1">
      <c r="J712" s="58"/>
      <c r="W712" s="58"/>
      <c r="X712" s="59"/>
      <c r="Y712" s="173"/>
      <c r="Z712" s="173"/>
    </row>
    <row r="713" spans="10:26" ht="16.5" customHeight="1">
      <c r="J713" s="58"/>
      <c r="W713" s="58"/>
      <c r="X713" s="59"/>
      <c r="Y713" s="173"/>
      <c r="Z713" s="173"/>
    </row>
    <row r="714" spans="10:26" ht="16.5" customHeight="1">
      <c r="J714" s="58"/>
      <c r="W714" s="58"/>
      <c r="X714" s="59"/>
      <c r="Y714" s="173"/>
      <c r="Z714" s="173"/>
    </row>
    <row r="715" spans="10:26" ht="16.5" customHeight="1">
      <c r="J715" s="58"/>
      <c r="W715" s="58"/>
      <c r="X715" s="59"/>
      <c r="Y715" s="173"/>
      <c r="Z715" s="173"/>
    </row>
    <row r="716" spans="10:26" ht="16.5" customHeight="1">
      <c r="J716" s="58"/>
      <c r="W716" s="58"/>
      <c r="X716" s="59"/>
      <c r="Y716" s="173"/>
      <c r="Z716" s="173"/>
    </row>
    <row r="717" spans="10:26" ht="16.5" customHeight="1">
      <c r="J717" s="58"/>
      <c r="W717" s="58"/>
      <c r="X717" s="59"/>
      <c r="Y717" s="173"/>
      <c r="Z717" s="173"/>
    </row>
    <row r="718" spans="10:26" ht="16.5" customHeight="1">
      <c r="J718" s="58"/>
      <c r="W718" s="58"/>
      <c r="X718" s="59"/>
      <c r="Y718" s="173"/>
      <c r="Z718" s="173"/>
    </row>
    <row r="719" spans="10:26" ht="16.5" customHeight="1">
      <c r="J719" s="58"/>
      <c r="W719" s="58"/>
      <c r="X719" s="59"/>
      <c r="Y719" s="173"/>
      <c r="Z719" s="173"/>
    </row>
    <row r="720" spans="10:26" ht="16.5" customHeight="1">
      <c r="J720" s="58"/>
      <c r="W720" s="58"/>
      <c r="X720" s="59"/>
      <c r="Y720" s="173"/>
      <c r="Z720" s="173"/>
    </row>
    <row r="721" spans="10:26" ht="16.5" customHeight="1">
      <c r="J721" s="58"/>
      <c r="W721" s="58"/>
      <c r="X721" s="59"/>
      <c r="Y721" s="173"/>
      <c r="Z721" s="173"/>
    </row>
    <row r="722" spans="10:26" ht="16.5" customHeight="1">
      <c r="J722" s="58"/>
      <c r="W722" s="58"/>
      <c r="X722" s="59"/>
      <c r="Y722" s="173"/>
      <c r="Z722" s="173"/>
    </row>
    <row r="723" spans="10:26" ht="16.5" customHeight="1">
      <c r="J723" s="58"/>
      <c r="W723" s="58"/>
      <c r="X723" s="59"/>
      <c r="Y723" s="173"/>
      <c r="Z723" s="173"/>
    </row>
    <row r="724" spans="10:26" ht="16.5" customHeight="1">
      <c r="J724" s="58"/>
      <c r="W724" s="58"/>
      <c r="X724" s="59"/>
      <c r="Y724" s="173"/>
      <c r="Z724" s="173"/>
    </row>
    <row r="725" spans="10:26" ht="16.5" customHeight="1">
      <c r="J725" s="58"/>
      <c r="W725" s="58"/>
      <c r="X725" s="59"/>
      <c r="Y725" s="173"/>
      <c r="Z725" s="173"/>
    </row>
    <row r="726" spans="10:26" ht="16.5" customHeight="1">
      <c r="J726" s="58"/>
      <c r="W726" s="58"/>
      <c r="X726" s="59"/>
      <c r="Y726" s="173"/>
      <c r="Z726" s="173"/>
    </row>
    <row r="727" spans="10:26" ht="16.5" customHeight="1">
      <c r="J727" s="58"/>
      <c r="W727" s="58"/>
      <c r="X727" s="59"/>
      <c r="Y727" s="173"/>
      <c r="Z727" s="173"/>
    </row>
    <row r="728" spans="10:26" ht="16.5" customHeight="1">
      <c r="J728" s="58"/>
      <c r="W728" s="58"/>
      <c r="X728" s="59"/>
      <c r="Y728" s="173"/>
      <c r="Z728" s="173"/>
    </row>
    <row r="729" spans="10:26" ht="16.5" customHeight="1">
      <c r="J729" s="58"/>
      <c r="W729" s="58"/>
      <c r="X729" s="59"/>
      <c r="Y729" s="173"/>
      <c r="Z729" s="173"/>
    </row>
    <row r="730" spans="10:26" ht="16.5" customHeight="1">
      <c r="J730" s="58"/>
      <c r="W730" s="58"/>
      <c r="X730" s="59"/>
      <c r="Y730" s="173"/>
      <c r="Z730" s="173"/>
    </row>
    <row r="731" spans="10:26" ht="16.5" customHeight="1">
      <c r="J731" s="58"/>
      <c r="W731" s="58"/>
      <c r="X731" s="59"/>
      <c r="Y731" s="173"/>
      <c r="Z731" s="173"/>
    </row>
    <row r="732" spans="10:26" ht="16.5" customHeight="1">
      <c r="J732" s="58"/>
      <c r="W732" s="58"/>
      <c r="X732" s="59"/>
      <c r="Y732" s="173"/>
      <c r="Z732" s="173"/>
    </row>
    <row r="733" spans="10:26" ht="16.5" customHeight="1">
      <c r="J733" s="58"/>
      <c r="W733" s="58"/>
      <c r="X733" s="59"/>
      <c r="Y733" s="173"/>
      <c r="Z733" s="173"/>
    </row>
    <row r="734" spans="10:26" ht="16.5" customHeight="1">
      <c r="J734" s="58"/>
      <c r="W734" s="58"/>
      <c r="X734" s="59"/>
      <c r="Y734" s="173"/>
      <c r="Z734" s="173"/>
    </row>
    <row r="735" spans="10:26" ht="16.5" customHeight="1">
      <c r="J735" s="58"/>
      <c r="W735" s="58"/>
      <c r="X735" s="59"/>
      <c r="Y735" s="173"/>
      <c r="Z735" s="173"/>
    </row>
    <row r="736" spans="10:26" ht="16.5" customHeight="1">
      <c r="J736" s="58"/>
      <c r="W736" s="58"/>
      <c r="X736" s="59"/>
      <c r="Y736" s="173"/>
      <c r="Z736" s="173"/>
    </row>
    <row r="737" spans="10:26" ht="16.5" customHeight="1">
      <c r="J737" s="58"/>
      <c r="W737" s="58"/>
      <c r="X737" s="59"/>
      <c r="Y737" s="173"/>
      <c r="Z737" s="173"/>
    </row>
    <row r="738" spans="10:26" ht="16.5" customHeight="1">
      <c r="J738" s="58"/>
      <c r="W738" s="58"/>
      <c r="X738" s="59"/>
      <c r="Y738" s="173"/>
      <c r="Z738" s="173"/>
    </row>
    <row r="739" spans="10:26" ht="16.5" customHeight="1">
      <c r="J739" s="58"/>
      <c r="W739" s="58"/>
      <c r="X739" s="59"/>
      <c r="Y739" s="173"/>
      <c r="Z739" s="173"/>
    </row>
    <row r="740" spans="10:26" ht="16.5" customHeight="1">
      <c r="J740" s="58"/>
      <c r="W740" s="58"/>
      <c r="X740" s="59"/>
      <c r="Y740" s="173"/>
      <c r="Z740" s="173"/>
    </row>
    <row r="741" spans="10:26" ht="16.5" customHeight="1">
      <c r="J741" s="58"/>
      <c r="W741" s="58"/>
      <c r="X741" s="59"/>
      <c r="Y741" s="173"/>
      <c r="Z741" s="173"/>
    </row>
    <row r="742" spans="10:26" ht="16.5" customHeight="1">
      <c r="J742" s="58"/>
      <c r="W742" s="58"/>
      <c r="X742" s="59"/>
      <c r="Y742" s="173"/>
      <c r="Z742" s="173"/>
    </row>
    <row r="743" spans="10:26" ht="16.5" customHeight="1">
      <c r="J743" s="58"/>
      <c r="W743" s="58"/>
      <c r="X743" s="59"/>
      <c r="Y743" s="173"/>
      <c r="Z743" s="173"/>
    </row>
    <row r="744" spans="10:26" ht="16.5" customHeight="1">
      <c r="J744" s="58"/>
      <c r="W744" s="58"/>
      <c r="X744" s="59"/>
      <c r="Y744" s="173"/>
      <c r="Z744" s="173"/>
    </row>
    <row r="745" spans="10:26" ht="16.5" customHeight="1">
      <c r="J745" s="58"/>
      <c r="W745" s="58"/>
      <c r="X745" s="59"/>
      <c r="Y745" s="173"/>
      <c r="Z745" s="173"/>
    </row>
    <row r="746" spans="10:26" ht="16.5" customHeight="1">
      <c r="J746" s="58"/>
      <c r="W746" s="58"/>
      <c r="X746" s="59"/>
      <c r="Y746" s="173"/>
      <c r="Z746" s="173"/>
    </row>
    <row r="747" spans="10:26" ht="16.5" customHeight="1">
      <c r="J747" s="58"/>
      <c r="W747" s="58"/>
      <c r="X747" s="59"/>
      <c r="Y747" s="173"/>
      <c r="Z747" s="173"/>
    </row>
    <row r="748" spans="10:26" ht="16.5" customHeight="1">
      <c r="J748" s="58"/>
      <c r="W748" s="58"/>
      <c r="X748" s="59"/>
      <c r="Y748" s="173"/>
      <c r="Z748" s="173"/>
    </row>
    <row r="749" spans="10:26" ht="16.5" customHeight="1">
      <c r="J749" s="58"/>
      <c r="W749" s="58"/>
      <c r="X749" s="59"/>
      <c r="Y749" s="173"/>
      <c r="Z749" s="173"/>
    </row>
    <row r="750" spans="10:26" ht="16.5" customHeight="1">
      <c r="J750" s="58"/>
      <c r="W750" s="58"/>
      <c r="X750" s="59"/>
      <c r="Y750" s="173"/>
      <c r="Z750" s="173"/>
    </row>
    <row r="751" spans="10:26" ht="16.5" customHeight="1">
      <c r="J751" s="58"/>
      <c r="W751" s="58"/>
      <c r="X751" s="59"/>
      <c r="Y751" s="173"/>
      <c r="Z751" s="173"/>
    </row>
    <row r="752" spans="10:26" ht="16.5" customHeight="1">
      <c r="J752" s="58"/>
      <c r="W752" s="58"/>
      <c r="X752" s="59"/>
      <c r="Y752" s="173"/>
      <c r="Z752" s="173"/>
    </row>
    <row r="753" spans="10:26" ht="16.5" customHeight="1">
      <c r="J753" s="58"/>
      <c r="W753" s="58"/>
      <c r="X753" s="59"/>
      <c r="Y753" s="173"/>
      <c r="Z753" s="173"/>
    </row>
    <row r="754" spans="10:26" ht="16.5" customHeight="1">
      <c r="J754" s="58"/>
      <c r="W754" s="58"/>
      <c r="X754" s="59"/>
      <c r="Y754" s="173"/>
      <c r="Z754" s="173"/>
    </row>
    <row r="755" spans="10:26" ht="16.5" customHeight="1">
      <c r="J755" s="58"/>
      <c r="W755" s="58"/>
      <c r="X755" s="59"/>
      <c r="Y755" s="173"/>
      <c r="Z755" s="173"/>
    </row>
    <row r="756" spans="10:26" ht="16.5" customHeight="1">
      <c r="J756" s="58"/>
      <c r="W756" s="58"/>
      <c r="X756" s="59"/>
      <c r="Y756" s="173"/>
      <c r="Z756" s="173"/>
    </row>
    <row r="757" spans="10:26" ht="16.5" customHeight="1">
      <c r="J757" s="58"/>
      <c r="W757" s="58"/>
      <c r="X757" s="59"/>
      <c r="Y757" s="173"/>
      <c r="Z757" s="173"/>
    </row>
    <row r="758" spans="10:26" ht="16.5" customHeight="1">
      <c r="J758" s="58"/>
      <c r="W758" s="58"/>
      <c r="X758" s="59"/>
      <c r="Y758" s="173"/>
      <c r="Z758" s="173"/>
    </row>
    <row r="759" spans="10:26" ht="16.5" customHeight="1">
      <c r="J759" s="58"/>
      <c r="W759" s="58"/>
      <c r="X759" s="59"/>
      <c r="Y759" s="173"/>
      <c r="Z759" s="173"/>
    </row>
    <row r="760" spans="10:26" ht="16.5" customHeight="1">
      <c r="J760" s="58"/>
      <c r="W760" s="58"/>
      <c r="X760" s="59"/>
      <c r="Y760" s="173"/>
      <c r="Z760" s="173"/>
    </row>
    <row r="761" spans="10:26" ht="16.5" customHeight="1">
      <c r="J761" s="58"/>
      <c r="W761" s="58"/>
      <c r="X761" s="59"/>
      <c r="Y761" s="173"/>
      <c r="Z761" s="173"/>
    </row>
    <row r="762" spans="10:26" ht="16.5" customHeight="1">
      <c r="J762" s="58"/>
      <c r="W762" s="58"/>
      <c r="X762" s="59"/>
      <c r="Y762" s="173"/>
      <c r="Z762" s="173"/>
    </row>
    <row r="763" spans="10:26" ht="16.5" customHeight="1">
      <c r="J763" s="58"/>
      <c r="W763" s="58"/>
      <c r="X763" s="59"/>
      <c r="Y763" s="173"/>
      <c r="Z763" s="173"/>
    </row>
    <row r="764" spans="10:26" ht="16.5" customHeight="1">
      <c r="J764" s="58"/>
      <c r="W764" s="58"/>
      <c r="X764" s="59"/>
      <c r="Y764" s="173"/>
      <c r="Z764" s="173"/>
    </row>
    <row r="765" spans="10:26" ht="16.5" customHeight="1">
      <c r="J765" s="58"/>
      <c r="W765" s="58"/>
      <c r="X765" s="59"/>
      <c r="Y765" s="173"/>
      <c r="Z765" s="173"/>
    </row>
    <row r="766" spans="10:26" ht="16.5" customHeight="1">
      <c r="J766" s="58"/>
      <c r="W766" s="58"/>
      <c r="X766" s="59"/>
      <c r="Y766" s="173"/>
      <c r="Z766" s="173"/>
    </row>
    <row r="767" spans="10:26" ht="16.5" customHeight="1">
      <c r="J767" s="58"/>
      <c r="W767" s="58"/>
      <c r="X767" s="59"/>
      <c r="Y767" s="173"/>
      <c r="Z767" s="173"/>
    </row>
    <row r="768" spans="10:26" ht="16.5" customHeight="1">
      <c r="J768" s="58"/>
      <c r="W768" s="58"/>
      <c r="X768" s="59"/>
      <c r="Y768" s="173"/>
      <c r="Z768" s="173"/>
    </row>
    <row r="769" spans="10:26" ht="16.5" customHeight="1">
      <c r="J769" s="58"/>
      <c r="W769" s="58"/>
      <c r="X769" s="59"/>
      <c r="Y769" s="173"/>
      <c r="Z769" s="173"/>
    </row>
    <row r="770" spans="10:26" ht="16.5" customHeight="1">
      <c r="J770" s="58"/>
      <c r="W770" s="58"/>
      <c r="X770" s="59"/>
      <c r="Y770" s="173"/>
      <c r="Z770" s="173"/>
    </row>
    <row r="771" spans="10:26" ht="16.5" customHeight="1">
      <c r="J771" s="58"/>
      <c r="W771" s="58"/>
      <c r="X771" s="59"/>
      <c r="Y771" s="173"/>
      <c r="Z771" s="173"/>
    </row>
    <row r="772" spans="10:26" ht="16.5" customHeight="1">
      <c r="J772" s="58"/>
      <c r="W772" s="58"/>
      <c r="X772" s="59"/>
      <c r="Y772" s="173"/>
      <c r="Z772" s="173"/>
    </row>
    <row r="773" spans="10:26" ht="16.5" customHeight="1">
      <c r="J773" s="58"/>
      <c r="W773" s="58"/>
      <c r="X773" s="59"/>
      <c r="Y773" s="173"/>
      <c r="Z773" s="173"/>
    </row>
    <row r="774" spans="10:26" ht="16.5" customHeight="1">
      <c r="J774" s="58"/>
      <c r="W774" s="58"/>
      <c r="X774" s="59"/>
      <c r="Y774" s="173"/>
      <c r="Z774" s="173"/>
    </row>
    <row r="775" spans="10:26" ht="16.5" customHeight="1">
      <c r="J775" s="58"/>
      <c r="W775" s="58"/>
      <c r="X775" s="59"/>
      <c r="Y775" s="173"/>
      <c r="Z775" s="173"/>
    </row>
    <row r="776" spans="10:26" ht="16.5" customHeight="1">
      <c r="J776" s="58"/>
      <c r="W776" s="58"/>
      <c r="X776" s="59"/>
      <c r="Y776" s="173"/>
      <c r="Z776" s="173"/>
    </row>
    <row r="777" spans="10:26" ht="16.5" customHeight="1">
      <c r="J777" s="58"/>
      <c r="W777" s="58"/>
      <c r="X777" s="59"/>
      <c r="Y777" s="173"/>
      <c r="Z777" s="173"/>
    </row>
    <row r="778" spans="10:26" ht="16.5" customHeight="1">
      <c r="J778" s="58"/>
      <c r="W778" s="58"/>
      <c r="X778" s="59"/>
      <c r="Y778" s="173"/>
      <c r="Z778" s="173"/>
    </row>
    <row r="779" spans="10:26" ht="16.5" customHeight="1">
      <c r="J779" s="58"/>
      <c r="W779" s="58"/>
      <c r="X779" s="59"/>
      <c r="Y779" s="173"/>
      <c r="Z779" s="173"/>
    </row>
    <row r="780" spans="10:26" ht="16.5" customHeight="1">
      <c r="J780" s="58"/>
      <c r="W780" s="58"/>
      <c r="X780" s="59"/>
      <c r="Y780" s="173"/>
      <c r="Z780" s="173"/>
    </row>
    <row r="781" spans="10:26" ht="16.5" customHeight="1">
      <c r="J781" s="58"/>
      <c r="W781" s="58"/>
      <c r="X781" s="59"/>
      <c r="Y781" s="173"/>
      <c r="Z781" s="173"/>
    </row>
    <row r="782" spans="10:26" ht="16.5" customHeight="1">
      <c r="J782" s="58"/>
      <c r="W782" s="58"/>
      <c r="X782" s="59"/>
      <c r="Y782" s="173"/>
      <c r="Z782" s="173"/>
    </row>
    <row r="783" spans="10:26" ht="16.5" customHeight="1">
      <c r="J783" s="58"/>
      <c r="W783" s="58"/>
      <c r="X783" s="59"/>
      <c r="Y783" s="173"/>
      <c r="Z783" s="173"/>
    </row>
    <row r="784" spans="10:26" ht="16.5" customHeight="1">
      <c r="J784" s="58"/>
      <c r="W784" s="58"/>
      <c r="X784" s="59"/>
      <c r="Y784" s="173"/>
      <c r="Z784" s="173"/>
    </row>
    <row r="785" spans="10:26" ht="16.5" customHeight="1">
      <c r="J785" s="58"/>
      <c r="W785" s="58"/>
      <c r="X785" s="59"/>
      <c r="Y785" s="173"/>
      <c r="Z785" s="173"/>
    </row>
    <row r="786" spans="10:26" ht="16.5" customHeight="1">
      <c r="J786" s="58"/>
      <c r="W786" s="58"/>
      <c r="X786" s="59"/>
      <c r="Y786" s="173"/>
      <c r="Z786" s="173"/>
    </row>
    <row r="787" spans="10:26" ht="16.5" customHeight="1">
      <c r="J787" s="58"/>
      <c r="W787" s="58"/>
      <c r="X787" s="59"/>
      <c r="Y787" s="173"/>
      <c r="Z787" s="173"/>
    </row>
    <row r="788" spans="10:26" ht="16.5" customHeight="1">
      <c r="J788" s="58"/>
      <c r="W788" s="58"/>
      <c r="X788" s="59"/>
      <c r="Y788" s="173"/>
      <c r="Z788" s="173"/>
    </row>
    <row r="789" spans="10:26" ht="16.5" customHeight="1">
      <c r="J789" s="58"/>
      <c r="W789" s="58"/>
      <c r="X789" s="59"/>
      <c r="Y789" s="173"/>
      <c r="Z789" s="173"/>
    </row>
    <row r="790" spans="10:26" ht="16.5" customHeight="1">
      <c r="J790" s="58"/>
      <c r="W790" s="58"/>
      <c r="X790" s="59"/>
      <c r="Y790" s="173"/>
      <c r="Z790" s="173"/>
    </row>
    <row r="791" spans="10:26" ht="16.5" customHeight="1">
      <c r="J791" s="58"/>
      <c r="W791" s="58"/>
      <c r="X791" s="59"/>
      <c r="Y791" s="173"/>
      <c r="Z791" s="173"/>
    </row>
    <row r="792" spans="10:26" ht="16.5" customHeight="1">
      <c r="J792" s="58"/>
      <c r="W792" s="58"/>
      <c r="X792" s="59"/>
      <c r="Y792" s="173"/>
      <c r="Z792" s="173"/>
    </row>
    <row r="793" spans="10:26" ht="16.5" customHeight="1">
      <c r="J793" s="58"/>
      <c r="W793" s="58"/>
      <c r="X793" s="59"/>
      <c r="Y793" s="173"/>
      <c r="Z793" s="173"/>
    </row>
    <row r="794" spans="10:26" ht="16.5" customHeight="1">
      <c r="J794" s="58"/>
      <c r="W794" s="58"/>
      <c r="X794" s="59"/>
      <c r="Y794" s="173"/>
      <c r="Z794" s="173"/>
    </row>
    <row r="795" spans="10:26" ht="16.5" customHeight="1">
      <c r="J795" s="58"/>
      <c r="W795" s="58"/>
      <c r="X795" s="59"/>
      <c r="Y795" s="173"/>
      <c r="Z795" s="173"/>
    </row>
    <row r="796" spans="10:26" ht="16.5" customHeight="1">
      <c r="J796" s="58"/>
      <c r="W796" s="58"/>
      <c r="X796" s="59"/>
      <c r="Y796" s="173"/>
      <c r="Z796" s="173"/>
    </row>
    <row r="797" spans="10:26" ht="16.5" customHeight="1">
      <c r="J797" s="58"/>
      <c r="W797" s="58"/>
      <c r="X797" s="59"/>
      <c r="Y797" s="173"/>
      <c r="Z797" s="173"/>
    </row>
    <row r="798" spans="10:26" ht="16.5" customHeight="1">
      <c r="J798" s="58"/>
      <c r="W798" s="58"/>
      <c r="X798" s="59"/>
      <c r="Y798" s="173"/>
      <c r="Z798" s="173"/>
    </row>
    <row r="799" spans="10:26" ht="16.5" customHeight="1">
      <c r="J799" s="58"/>
      <c r="W799" s="58"/>
      <c r="X799" s="59"/>
      <c r="Y799" s="173"/>
      <c r="Z799" s="173"/>
    </row>
    <row r="800" spans="10:26" ht="16.5" customHeight="1">
      <c r="J800" s="58"/>
      <c r="W800" s="58"/>
      <c r="X800" s="59"/>
      <c r="Y800" s="173"/>
      <c r="Z800" s="173"/>
    </row>
    <row r="801" spans="10:26" ht="16.5" customHeight="1">
      <c r="J801" s="58"/>
      <c r="W801" s="58"/>
      <c r="X801" s="59"/>
      <c r="Y801" s="173"/>
      <c r="Z801" s="173"/>
    </row>
    <row r="802" spans="10:26" ht="16.5" customHeight="1">
      <c r="J802" s="58"/>
      <c r="W802" s="58"/>
      <c r="X802" s="59"/>
      <c r="Y802" s="173"/>
      <c r="Z802" s="173"/>
    </row>
    <row r="803" spans="10:26" ht="16.5" customHeight="1">
      <c r="J803" s="58"/>
      <c r="W803" s="58"/>
      <c r="X803" s="59"/>
      <c r="Y803" s="173"/>
      <c r="Z803" s="173"/>
    </row>
    <row r="804" spans="10:26" ht="16.5" customHeight="1">
      <c r="J804" s="58"/>
      <c r="W804" s="58"/>
      <c r="X804" s="59"/>
      <c r="Y804" s="173"/>
      <c r="Z804" s="173"/>
    </row>
    <row r="805" spans="10:26" ht="16.5" customHeight="1">
      <c r="J805" s="58"/>
      <c r="W805" s="58"/>
      <c r="X805" s="59"/>
      <c r="Y805" s="173"/>
      <c r="Z805" s="173"/>
    </row>
    <row r="806" spans="10:26" ht="16.5" customHeight="1">
      <c r="J806" s="58"/>
      <c r="W806" s="58"/>
      <c r="X806" s="59"/>
      <c r="Y806" s="173"/>
      <c r="Z806" s="173"/>
    </row>
    <row r="807" spans="10:26" ht="16.5" customHeight="1">
      <c r="J807" s="58"/>
      <c r="W807" s="58"/>
      <c r="X807" s="59"/>
      <c r="Y807" s="173"/>
      <c r="Z807" s="173"/>
    </row>
    <row r="808" spans="10:26" ht="16.5" customHeight="1">
      <c r="J808" s="58"/>
      <c r="W808" s="58"/>
      <c r="X808" s="59"/>
      <c r="Y808" s="173"/>
      <c r="Z808" s="173"/>
    </row>
    <row r="809" spans="10:26" ht="16.5" customHeight="1">
      <c r="J809" s="58"/>
      <c r="W809" s="58"/>
      <c r="X809" s="59"/>
      <c r="Y809" s="173"/>
      <c r="Z809" s="173"/>
    </row>
    <row r="810" spans="10:26" ht="16.5" customHeight="1">
      <c r="J810" s="58"/>
      <c r="W810" s="58"/>
      <c r="X810" s="59"/>
      <c r="Y810" s="173"/>
      <c r="Z810" s="173"/>
    </row>
    <row r="811" spans="10:26" ht="16.5" customHeight="1">
      <c r="J811" s="58"/>
      <c r="W811" s="58"/>
      <c r="X811" s="59"/>
      <c r="Y811" s="173"/>
      <c r="Z811" s="173"/>
    </row>
    <row r="812" spans="10:26" ht="16.5" customHeight="1">
      <c r="J812" s="58"/>
      <c r="W812" s="58"/>
      <c r="X812" s="59"/>
      <c r="Y812" s="173"/>
      <c r="Z812" s="173"/>
    </row>
    <row r="813" spans="10:26" ht="16.5" customHeight="1">
      <c r="J813" s="58"/>
      <c r="W813" s="58"/>
      <c r="X813" s="59"/>
      <c r="Y813" s="173"/>
      <c r="Z813" s="173"/>
    </row>
    <row r="814" spans="10:26" ht="16.5" customHeight="1">
      <c r="J814" s="58"/>
      <c r="W814" s="58"/>
      <c r="X814" s="59"/>
      <c r="Y814" s="173"/>
      <c r="Z814" s="173"/>
    </row>
    <row r="815" spans="10:26" ht="16.5" customHeight="1">
      <c r="J815" s="58"/>
      <c r="W815" s="58"/>
      <c r="X815" s="59"/>
      <c r="Y815" s="173"/>
      <c r="Z815" s="173"/>
    </row>
    <row r="816" spans="10:26" ht="16.5" customHeight="1">
      <c r="J816" s="58"/>
      <c r="W816" s="58"/>
      <c r="X816" s="59"/>
      <c r="Y816" s="173"/>
      <c r="Z816" s="173"/>
    </row>
    <row r="817" spans="10:26" ht="16.5" customHeight="1">
      <c r="J817" s="58"/>
      <c r="W817" s="58"/>
      <c r="X817" s="59"/>
      <c r="Y817" s="173"/>
      <c r="Z817" s="173"/>
    </row>
    <row r="818" spans="10:26" ht="16.5" customHeight="1">
      <c r="J818" s="58"/>
      <c r="W818" s="58"/>
      <c r="X818" s="59"/>
      <c r="Y818" s="173"/>
      <c r="Z818" s="173"/>
    </row>
    <row r="819" spans="10:26" ht="16.5" customHeight="1">
      <c r="J819" s="58"/>
      <c r="W819" s="58"/>
      <c r="X819" s="59"/>
      <c r="Y819" s="173"/>
      <c r="Z819" s="173"/>
    </row>
    <row r="820" spans="10:26" ht="16.5" customHeight="1">
      <c r="J820" s="58"/>
      <c r="W820" s="58"/>
      <c r="X820" s="59"/>
      <c r="Y820" s="173"/>
      <c r="Z820" s="173"/>
    </row>
    <row r="821" spans="10:26" ht="16.5" customHeight="1">
      <c r="J821" s="58"/>
      <c r="W821" s="58"/>
      <c r="X821" s="59"/>
      <c r="Y821" s="173"/>
      <c r="Z821" s="173"/>
    </row>
    <row r="822" spans="10:26" ht="16.5" customHeight="1">
      <c r="J822" s="58"/>
      <c r="W822" s="58"/>
      <c r="X822" s="59"/>
      <c r="Y822" s="173"/>
      <c r="Z822" s="173"/>
    </row>
    <row r="823" spans="10:26" ht="16.5" customHeight="1">
      <c r="J823" s="58"/>
      <c r="W823" s="58"/>
      <c r="X823" s="59"/>
      <c r="Y823" s="173"/>
      <c r="Z823" s="173"/>
    </row>
    <row r="824" spans="10:26" ht="16.5" customHeight="1">
      <c r="J824" s="58"/>
      <c r="W824" s="58"/>
      <c r="X824" s="59"/>
      <c r="Y824" s="173"/>
      <c r="Z824" s="173"/>
    </row>
    <row r="825" spans="10:26" ht="16.5" customHeight="1">
      <c r="J825" s="58"/>
      <c r="W825" s="58"/>
      <c r="X825" s="59"/>
      <c r="Y825" s="173"/>
      <c r="Z825" s="173"/>
    </row>
    <row r="826" spans="10:26" ht="16.5" customHeight="1">
      <c r="J826" s="58"/>
      <c r="W826" s="58"/>
      <c r="X826" s="59"/>
      <c r="Y826" s="173"/>
      <c r="Z826" s="173"/>
    </row>
    <row r="827" spans="10:26" ht="16.5" customHeight="1">
      <c r="J827" s="58"/>
      <c r="W827" s="58"/>
      <c r="X827" s="59"/>
      <c r="Y827" s="173"/>
      <c r="Z827" s="173"/>
    </row>
    <row r="828" spans="10:26" ht="16.5" customHeight="1">
      <c r="J828" s="58"/>
      <c r="W828" s="58"/>
      <c r="X828" s="59"/>
      <c r="Y828" s="173"/>
      <c r="Z828" s="173"/>
    </row>
    <row r="829" spans="10:26" ht="16.5" customHeight="1">
      <c r="J829" s="58"/>
      <c r="W829" s="58"/>
      <c r="X829" s="59"/>
      <c r="Y829" s="173"/>
      <c r="Z829" s="173"/>
    </row>
    <row r="830" spans="10:26" ht="16.5" customHeight="1">
      <c r="J830" s="58"/>
      <c r="W830" s="58"/>
      <c r="X830" s="59"/>
      <c r="Y830" s="173"/>
      <c r="Z830" s="173"/>
    </row>
    <row r="831" spans="10:26" ht="16.5" customHeight="1">
      <c r="J831" s="58"/>
      <c r="W831" s="58"/>
      <c r="X831" s="59"/>
      <c r="Y831" s="173"/>
      <c r="Z831" s="173"/>
    </row>
    <row r="832" spans="10:26" ht="16.5" customHeight="1">
      <c r="J832" s="58"/>
      <c r="W832" s="58"/>
      <c r="X832" s="59"/>
      <c r="Y832" s="173"/>
      <c r="Z832" s="173"/>
    </row>
    <row r="833" spans="10:26" ht="16.5" customHeight="1">
      <c r="J833" s="58"/>
      <c r="W833" s="58"/>
      <c r="X833" s="59"/>
      <c r="Y833" s="173"/>
      <c r="Z833" s="173"/>
    </row>
    <row r="834" spans="10:26" ht="16.5" customHeight="1">
      <c r="J834" s="58"/>
      <c r="W834" s="58"/>
      <c r="X834" s="59"/>
      <c r="Y834" s="173"/>
      <c r="Z834" s="173"/>
    </row>
    <row r="835" spans="10:26" ht="16.5" customHeight="1">
      <c r="J835" s="58"/>
      <c r="W835" s="58"/>
      <c r="X835" s="59"/>
      <c r="Y835" s="173"/>
      <c r="Z835" s="173"/>
    </row>
    <row r="836" spans="10:26" ht="16.5" customHeight="1">
      <c r="J836" s="58"/>
      <c r="W836" s="58"/>
      <c r="X836" s="59"/>
      <c r="Y836" s="173"/>
      <c r="Z836" s="173"/>
    </row>
    <row r="837" spans="10:26" ht="16.5" customHeight="1">
      <c r="J837" s="58"/>
      <c r="W837" s="58"/>
      <c r="X837" s="59"/>
      <c r="Y837" s="173"/>
      <c r="Z837" s="173"/>
    </row>
    <row r="838" spans="10:26" ht="16.5" customHeight="1">
      <c r="J838" s="58"/>
      <c r="W838" s="58"/>
      <c r="X838" s="59"/>
      <c r="Y838" s="173"/>
      <c r="Z838" s="173"/>
    </row>
    <row r="839" spans="10:26" ht="16.5" customHeight="1">
      <c r="J839" s="58"/>
      <c r="W839" s="58"/>
      <c r="X839" s="59"/>
      <c r="Y839" s="173"/>
      <c r="Z839" s="173"/>
    </row>
    <row r="840" spans="10:26" ht="16.5" customHeight="1">
      <c r="J840" s="58"/>
      <c r="W840" s="58"/>
      <c r="X840" s="59"/>
      <c r="Y840" s="173"/>
      <c r="Z840" s="173"/>
    </row>
    <row r="841" spans="10:26" ht="16.5" customHeight="1">
      <c r="J841" s="58"/>
      <c r="W841" s="58"/>
      <c r="X841" s="59"/>
      <c r="Y841" s="173"/>
      <c r="Z841" s="173"/>
    </row>
    <row r="842" spans="10:26" ht="16.5" customHeight="1">
      <c r="J842" s="58"/>
      <c r="W842" s="58"/>
      <c r="X842" s="59"/>
      <c r="Y842" s="173"/>
      <c r="Z842" s="173"/>
    </row>
    <row r="843" spans="10:26" ht="16.5" customHeight="1">
      <c r="J843" s="58"/>
      <c r="W843" s="58"/>
      <c r="X843" s="59"/>
      <c r="Y843" s="173"/>
      <c r="Z843" s="173"/>
    </row>
    <row r="844" spans="10:26" ht="16.5" customHeight="1">
      <c r="J844" s="58"/>
      <c r="W844" s="58"/>
      <c r="X844" s="59"/>
      <c r="Y844" s="173"/>
      <c r="Z844" s="173"/>
    </row>
    <row r="845" spans="10:26" ht="16.5" customHeight="1">
      <c r="J845" s="58"/>
      <c r="W845" s="58"/>
      <c r="X845" s="59"/>
      <c r="Y845" s="173"/>
      <c r="Z845" s="173"/>
    </row>
    <row r="846" spans="10:26" ht="16.5" customHeight="1">
      <c r="J846" s="58"/>
      <c r="W846" s="58"/>
      <c r="X846" s="59"/>
      <c r="Y846" s="173"/>
      <c r="Z846" s="173"/>
    </row>
    <row r="847" spans="10:26" ht="16.5" customHeight="1">
      <c r="J847" s="58"/>
      <c r="W847" s="58"/>
      <c r="X847" s="59"/>
      <c r="Y847" s="173"/>
      <c r="Z847" s="173"/>
    </row>
    <row r="848" spans="10:26" ht="16.5" customHeight="1">
      <c r="J848" s="58"/>
      <c r="W848" s="58"/>
      <c r="X848" s="59"/>
      <c r="Y848" s="173"/>
      <c r="Z848" s="173"/>
    </row>
    <row r="849" spans="10:26" ht="16.5" customHeight="1">
      <c r="J849" s="58"/>
      <c r="W849" s="58"/>
      <c r="X849" s="59"/>
      <c r="Y849" s="173"/>
      <c r="Z849" s="173"/>
    </row>
    <row r="850" spans="10:26" ht="16.5" customHeight="1">
      <c r="J850" s="58"/>
      <c r="W850" s="58"/>
      <c r="X850" s="59"/>
      <c r="Y850" s="173"/>
      <c r="Z850" s="173"/>
    </row>
    <row r="851" spans="10:26" ht="16.5" customHeight="1">
      <c r="J851" s="58"/>
      <c r="W851" s="58"/>
      <c r="X851" s="59"/>
      <c r="Y851" s="173"/>
      <c r="Z851" s="173"/>
    </row>
    <row r="852" spans="10:26" ht="16.5" customHeight="1">
      <c r="J852" s="58"/>
      <c r="W852" s="58"/>
      <c r="X852" s="59"/>
      <c r="Y852" s="173"/>
      <c r="Z852" s="173"/>
    </row>
    <row r="853" spans="10:26" ht="16.5" customHeight="1">
      <c r="J853" s="58"/>
      <c r="W853" s="58"/>
      <c r="X853" s="59"/>
      <c r="Y853" s="173"/>
      <c r="Z853" s="173"/>
    </row>
    <row r="854" spans="10:26" ht="16.5" customHeight="1">
      <c r="J854" s="58"/>
      <c r="W854" s="58"/>
      <c r="X854" s="59"/>
      <c r="Y854" s="173"/>
      <c r="Z854" s="173"/>
    </row>
    <row r="855" spans="10:26" ht="16.5" customHeight="1">
      <c r="J855" s="58"/>
      <c r="W855" s="58"/>
      <c r="X855" s="59"/>
      <c r="Y855" s="173"/>
      <c r="Z855" s="173"/>
    </row>
    <row r="856" spans="10:26" ht="16.5" customHeight="1">
      <c r="J856" s="58"/>
      <c r="W856" s="58"/>
      <c r="X856" s="59"/>
      <c r="Y856" s="173"/>
      <c r="Z856" s="173"/>
    </row>
    <row r="857" spans="10:26" ht="16.5" customHeight="1">
      <c r="J857" s="58"/>
      <c r="W857" s="58"/>
      <c r="X857" s="59"/>
      <c r="Y857" s="173"/>
      <c r="Z857" s="173"/>
    </row>
    <row r="858" spans="10:26" ht="16.5" customHeight="1">
      <c r="J858" s="58"/>
      <c r="W858" s="58"/>
      <c r="X858" s="59"/>
      <c r="Y858" s="173"/>
      <c r="Z858" s="173"/>
    </row>
    <row r="859" spans="10:26" ht="16.5" customHeight="1">
      <c r="J859" s="58"/>
      <c r="W859" s="58"/>
      <c r="X859" s="59"/>
      <c r="Y859" s="173"/>
      <c r="Z859" s="173"/>
    </row>
    <row r="860" spans="10:26" ht="16.5" customHeight="1">
      <c r="J860" s="58"/>
      <c r="W860" s="58"/>
      <c r="X860" s="59"/>
      <c r="Y860" s="173"/>
      <c r="Z860" s="173"/>
    </row>
    <row r="861" spans="10:26" ht="16.5" customHeight="1">
      <c r="J861" s="58"/>
      <c r="W861" s="58"/>
      <c r="X861" s="59"/>
      <c r="Y861" s="173"/>
      <c r="Z861" s="173"/>
    </row>
    <row r="862" spans="10:26" ht="16.5" customHeight="1">
      <c r="J862" s="58"/>
      <c r="W862" s="58"/>
      <c r="X862" s="59"/>
      <c r="Y862" s="173"/>
      <c r="Z862" s="173"/>
    </row>
    <row r="863" spans="10:26" ht="16.5" customHeight="1">
      <c r="J863" s="58"/>
      <c r="W863" s="58"/>
      <c r="X863" s="59"/>
      <c r="Y863" s="173"/>
      <c r="Z863" s="173"/>
    </row>
    <row r="864" spans="10:26" ht="16.5" customHeight="1">
      <c r="J864" s="58"/>
      <c r="W864" s="58"/>
      <c r="X864" s="59"/>
      <c r="Y864" s="173"/>
      <c r="Z864" s="173"/>
    </row>
    <row r="865" spans="10:26" ht="16.5" customHeight="1">
      <c r="J865" s="58"/>
      <c r="W865" s="58"/>
      <c r="X865" s="59"/>
      <c r="Y865" s="173"/>
      <c r="Z865" s="173"/>
    </row>
    <row r="866" spans="10:26" ht="16.5" customHeight="1">
      <c r="J866" s="58"/>
      <c r="W866" s="58"/>
      <c r="X866" s="59"/>
      <c r="Y866" s="173"/>
      <c r="Z866" s="173"/>
    </row>
    <row r="867" spans="10:26" ht="16.5" customHeight="1">
      <c r="J867" s="58"/>
      <c r="W867" s="58"/>
      <c r="X867" s="59"/>
      <c r="Y867" s="173"/>
      <c r="Z867" s="173"/>
    </row>
    <row r="868" spans="10:26" ht="16.5" customHeight="1">
      <c r="J868" s="58"/>
      <c r="W868" s="58"/>
      <c r="X868" s="59"/>
      <c r="Y868" s="173"/>
      <c r="Z868" s="173"/>
    </row>
    <row r="869" spans="10:26" ht="16.5" customHeight="1">
      <c r="J869" s="58"/>
      <c r="W869" s="58"/>
      <c r="X869" s="59"/>
      <c r="Y869" s="173"/>
      <c r="Z869" s="173"/>
    </row>
    <row r="870" spans="10:26" ht="16.5" customHeight="1">
      <c r="J870" s="58"/>
      <c r="W870" s="58"/>
      <c r="X870" s="59"/>
      <c r="Y870" s="173"/>
      <c r="Z870" s="173"/>
    </row>
    <row r="871" spans="10:26" ht="16.5" customHeight="1">
      <c r="J871" s="58"/>
      <c r="W871" s="58"/>
      <c r="X871" s="59"/>
      <c r="Y871" s="173"/>
      <c r="Z871" s="173"/>
    </row>
    <row r="872" spans="10:26" ht="16.5" customHeight="1">
      <c r="J872" s="58"/>
      <c r="W872" s="58"/>
      <c r="X872" s="59"/>
      <c r="Y872" s="173"/>
      <c r="Z872" s="173"/>
    </row>
    <row r="873" spans="10:26" ht="16.5" customHeight="1">
      <c r="J873" s="58"/>
      <c r="W873" s="58"/>
      <c r="X873" s="59"/>
      <c r="Y873" s="173"/>
      <c r="Z873" s="173"/>
    </row>
    <row r="874" spans="10:26" ht="16.5" customHeight="1">
      <c r="J874" s="58"/>
      <c r="W874" s="58"/>
      <c r="X874" s="59"/>
      <c r="Y874" s="173"/>
      <c r="Z874" s="173"/>
    </row>
    <row r="875" spans="10:26" ht="16.5" customHeight="1">
      <c r="J875" s="58"/>
      <c r="W875" s="58"/>
      <c r="X875" s="59"/>
      <c r="Y875" s="173"/>
      <c r="Z875" s="173"/>
    </row>
    <row r="876" spans="10:26" ht="16.5" customHeight="1">
      <c r="J876" s="58"/>
      <c r="W876" s="58"/>
      <c r="X876" s="59"/>
      <c r="Y876" s="173"/>
      <c r="Z876" s="173"/>
    </row>
    <row r="877" spans="10:26" ht="16.5" customHeight="1">
      <c r="J877" s="58"/>
      <c r="W877" s="58"/>
      <c r="X877" s="59"/>
      <c r="Y877" s="173"/>
      <c r="Z877" s="173"/>
    </row>
    <row r="878" spans="10:26" ht="16.5" customHeight="1">
      <c r="J878" s="58"/>
      <c r="W878" s="58"/>
      <c r="X878" s="59"/>
      <c r="Y878" s="173"/>
      <c r="Z878" s="173"/>
    </row>
    <row r="879" spans="10:26" ht="16.5" customHeight="1">
      <c r="J879" s="58"/>
      <c r="W879" s="58"/>
      <c r="X879" s="59"/>
      <c r="Y879" s="173"/>
      <c r="Z879" s="173"/>
    </row>
    <row r="880" spans="10:26" ht="16.5" customHeight="1">
      <c r="J880" s="58"/>
      <c r="W880" s="58"/>
      <c r="X880" s="59"/>
      <c r="Y880" s="173"/>
      <c r="Z880" s="173"/>
    </row>
    <row r="881" spans="10:26" ht="16.5" customHeight="1">
      <c r="J881" s="58"/>
      <c r="W881" s="58"/>
      <c r="X881" s="59"/>
      <c r="Y881" s="173"/>
      <c r="Z881" s="173"/>
    </row>
    <row r="882" spans="10:26" ht="16.5" customHeight="1">
      <c r="J882" s="58"/>
      <c r="W882" s="58"/>
      <c r="X882" s="59"/>
      <c r="Y882" s="173"/>
      <c r="Z882" s="173"/>
    </row>
    <row r="883" spans="10:26" ht="16.5" customHeight="1">
      <c r="J883" s="58"/>
      <c r="W883" s="58"/>
      <c r="X883" s="59"/>
      <c r="Y883" s="173"/>
      <c r="Z883" s="173"/>
    </row>
    <row r="884" spans="10:26" ht="16.5" customHeight="1">
      <c r="J884" s="58"/>
      <c r="W884" s="58"/>
      <c r="X884" s="59"/>
      <c r="Y884" s="173"/>
      <c r="Z884" s="173"/>
    </row>
    <row r="885" spans="10:26" ht="16.5" customHeight="1">
      <c r="J885" s="58"/>
      <c r="W885" s="58"/>
      <c r="X885" s="59"/>
      <c r="Y885" s="173"/>
      <c r="Z885" s="173"/>
    </row>
    <row r="886" spans="10:26" ht="16.5" customHeight="1">
      <c r="J886" s="58"/>
      <c r="W886" s="58"/>
      <c r="X886" s="59"/>
      <c r="Y886" s="173"/>
      <c r="Z886" s="173"/>
    </row>
    <row r="887" spans="10:26" ht="16.5" customHeight="1">
      <c r="J887" s="58"/>
      <c r="W887" s="58"/>
      <c r="X887" s="59"/>
      <c r="Y887" s="173"/>
      <c r="Z887" s="173"/>
    </row>
    <row r="888" spans="10:26" ht="16.5" customHeight="1">
      <c r="J888" s="58"/>
      <c r="W888" s="58"/>
      <c r="X888" s="59"/>
      <c r="Y888" s="173"/>
      <c r="Z888" s="173"/>
    </row>
    <row r="889" spans="10:26" ht="16.5" customHeight="1">
      <c r="J889" s="58"/>
      <c r="W889" s="58"/>
      <c r="X889" s="59"/>
      <c r="Y889" s="173"/>
      <c r="Z889" s="173"/>
    </row>
    <row r="890" spans="10:26" ht="16.5" customHeight="1">
      <c r="J890" s="58"/>
      <c r="W890" s="58"/>
      <c r="X890" s="59"/>
      <c r="Y890" s="173"/>
      <c r="Z890" s="173"/>
    </row>
    <row r="891" spans="10:26" ht="16.5" customHeight="1">
      <c r="J891" s="58"/>
      <c r="W891" s="58"/>
      <c r="X891" s="59"/>
      <c r="Y891" s="173"/>
      <c r="Z891" s="173"/>
    </row>
    <row r="892" spans="10:26" ht="16.5" customHeight="1">
      <c r="J892" s="58"/>
      <c r="W892" s="58"/>
      <c r="X892" s="59"/>
      <c r="Y892" s="173"/>
      <c r="Z892" s="173"/>
    </row>
    <row r="893" spans="10:26" ht="16.5" customHeight="1">
      <c r="J893" s="58"/>
      <c r="W893" s="58"/>
      <c r="X893" s="59"/>
      <c r="Y893" s="173"/>
      <c r="Z893" s="173"/>
    </row>
    <row r="894" spans="10:26" ht="16.5" customHeight="1">
      <c r="J894" s="58"/>
      <c r="W894" s="58"/>
      <c r="X894" s="59"/>
      <c r="Y894" s="173"/>
      <c r="Z894" s="173"/>
    </row>
    <row r="895" spans="10:26" ht="16.5" customHeight="1">
      <c r="J895" s="58"/>
      <c r="W895" s="58"/>
      <c r="X895" s="59"/>
      <c r="Y895" s="173"/>
      <c r="Z895" s="173"/>
    </row>
    <row r="896" spans="10:26" ht="16.5" customHeight="1">
      <c r="J896" s="58"/>
      <c r="W896" s="58"/>
      <c r="X896" s="59"/>
      <c r="Y896" s="173"/>
      <c r="Z896" s="173"/>
    </row>
    <row r="897" spans="10:26" ht="16.5" customHeight="1">
      <c r="J897" s="58"/>
      <c r="W897" s="58"/>
      <c r="X897" s="59"/>
      <c r="Y897" s="173"/>
      <c r="Z897" s="173"/>
    </row>
    <row r="898" spans="10:26" ht="16.5" customHeight="1">
      <c r="J898" s="58"/>
      <c r="W898" s="58"/>
      <c r="X898" s="59"/>
      <c r="Y898" s="173"/>
      <c r="Z898" s="173"/>
    </row>
    <row r="899" spans="10:26" ht="16.5" customHeight="1">
      <c r="J899" s="58"/>
      <c r="W899" s="58"/>
      <c r="X899" s="59"/>
      <c r="Y899" s="173"/>
      <c r="Z899" s="173"/>
    </row>
    <row r="900" spans="10:26" ht="16.5" customHeight="1">
      <c r="J900" s="58"/>
      <c r="W900" s="58"/>
      <c r="X900" s="59"/>
      <c r="Y900" s="173"/>
      <c r="Z900" s="173"/>
    </row>
    <row r="901" spans="10:26" ht="16.5" customHeight="1">
      <c r="J901" s="58"/>
      <c r="W901" s="58"/>
      <c r="X901" s="59"/>
      <c r="Y901" s="173"/>
      <c r="Z901" s="173"/>
    </row>
    <row r="902" spans="10:26" ht="16.5" customHeight="1">
      <c r="J902" s="58"/>
      <c r="W902" s="58"/>
      <c r="X902" s="59"/>
      <c r="Y902" s="173"/>
      <c r="Z902" s="173"/>
    </row>
    <row r="903" spans="10:26" ht="16.5" customHeight="1">
      <c r="J903" s="58"/>
      <c r="W903" s="58"/>
      <c r="X903" s="59"/>
      <c r="Y903" s="173"/>
      <c r="Z903" s="173"/>
    </row>
    <row r="904" spans="10:26" ht="16.5" customHeight="1">
      <c r="J904" s="58"/>
      <c r="W904" s="58"/>
      <c r="X904" s="59"/>
      <c r="Y904" s="173"/>
      <c r="Z904" s="173"/>
    </row>
    <row r="905" spans="10:26" ht="16.5" customHeight="1">
      <c r="J905" s="58"/>
      <c r="W905" s="58"/>
      <c r="X905" s="59"/>
      <c r="Y905" s="173"/>
      <c r="Z905" s="173"/>
    </row>
    <row r="906" spans="10:26" ht="16.5" customHeight="1">
      <c r="J906" s="58"/>
      <c r="W906" s="58"/>
      <c r="X906" s="59"/>
      <c r="Y906" s="173"/>
      <c r="Z906" s="173"/>
    </row>
    <row r="907" spans="10:26" ht="16.5" customHeight="1">
      <c r="J907" s="58"/>
      <c r="W907" s="58"/>
      <c r="X907" s="59"/>
      <c r="Y907" s="173"/>
      <c r="Z907" s="173"/>
    </row>
    <row r="908" spans="10:26" ht="16.5" customHeight="1">
      <c r="J908" s="58"/>
      <c r="W908" s="58"/>
      <c r="X908" s="59"/>
      <c r="Y908" s="173"/>
      <c r="Z908" s="173"/>
    </row>
    <row r="909" spans="10:26" ht="16.5" customHeight="1">
      <c r="J909" s="58"/>
      <c r="W909" s="58"/>
      <c r="X909" s="59"/>
      <c r="Y909" s="173"/>
      <c r="Z909" s="173"/>
    </row>
    <row r="910" spans="10:26" ht="16.5" customHeight="1">
      <c r="J910" s="58"/>
      <c r="W910" s="58"/>
      <c r="X910" s="59"/>
      <c r="Y910" s="173"/>
      <c r="Z910" s="173"/>
    </row>
    <row r="911" spans="10:26" ht="16.5" customHeight="1">
      <c r="J911" s="58"/>
      <c r="W911" s="58"/>
      <c r="X911" s="59"/>
      <c r="Y911" s="173"/>
      <c r="Z911" s="173"/>
    </row>
    <row r="912" spans="10:26" ht="16.5" customHeight="1">
      <c r="J912" s="58"/>
      <c r="W912" s="58"/>
      <c r="X912" s="59"/>
      <c r="Y912" s="173"/>
      <c r="Z912" s="173"/>
    </row>
    <row r="913" spans="10:26" ht="16.5" customHeight="1">
      <c r="J913" s="58"/>
      <c r="W913" s="58"/>
      <c r="X913" s="59"/>
      <c r="Y913" s="173"/>
      <c r="Z913" s="173"/>
    </row>
    <row r="914" spans="10:26" ht="16.5" customHeight="1">
      <c r="J914" s="58"/>
      <c r="W914" s="58"/>
      <c r="X914" s="59"/>
      <c r="Y914" s="173"/>
      <c r="Z914" s="173"/>
    </row>
    <row r="915" spans="10:26" ht="16.5" customHeight="1">
      <c r="J915" s="58"/>
      <c r="W915" s="58"/>
      <c r="X915" s="59"/>
      <c r="Y915" s="173"/>
      <c r="Z915" s="173"/>
    </row>
    <row r="916" spans="10:26" ht="16.5" customHeight="1">
      <c r="J916" s="58"/>
      <c r="W916" s="58"/>
      <c r="X916" s="59"/>
      <c r="Y916" s="173"/>
      <c r="Z916" s="173"/>
    </row>
    <row r="917" spans="10:26" ht="16.5" customHeight="1">
      <c r="J917" s="58"/>
      <c r="W917" s="58"/>
      <c r="X917" s="59"/>
      <c r="Y917" s="173"/>
      <c r="Z917" s="173"/>
    </row>
    <row r="918" spans="10:26" ht="16.5" customHeight="1">
      <c r="J918" s="58"/>
      <c r="W918" s="58"/>
      <c r="X918" s="59"/>
      <c r="Y918" s="173"/>
      <c r="Z918" s="173"/>
    </row>
    <row r="919" spans="10:26" ht="16.5" customHeight="1">
      <c r="J919" s="58"/>
      <c r="W919" s="58"/>
      <c r="X919" s="59"/>
      <c r="Y919" s="173"/>
      <c r="Z919" s="173"/>
    </row>
    <row r="920" spans="10:26" ht="16.5" customHeight="1">
      <c r="J920" s="58"/>
      <c r="W920" s="58"/>
      <c r="X920" s="59"/>
      <c r="Y920" s="173"/>
      <c r="Z920" s="173"/>
    </row>
    <row r="921" spans="10:26" ht="16.5" customHeight="1">
      <c r="J921" s="58"/>
      <c r="W921" s="58"/>
      <c r="X921" s="59"/>
      <c r="Y921" s="173"/>
      <c r="Z921" s="173"/>
    </row>
    <row r="922" spans="10:26" ht="16.5" customHeight="1">
      <c r="J922" s="58"/>
      <c r="W922" s="58"/>
      <c r="X922" s="59"/>
      <c r="Y922" s="173"/>
      <c r="Z922" s="173"/>
    </row>
    <row r="923" spans="10:26" ht="16.5" customHeight="1">
      <c r="J923" s="58"/>
      <c r="W923" s="58"/>
      <c r="X923" s="59"/>
      <c r="Y923" s="173"/>
      <c r="Z923" s="173"/>
    </row>
    <row r="924" spans="10:26" ht="16.5" customHeight="1">
      <c r="J924" s="58"/>
      <c r="W924" s="58"/>
      <c r="X924" s="59"/>
      <c r="Y924" s="173"/>
      <c r="Z924" s="173"/>
    </row>
    <row r="925" spans="10:26" ht="16.5" customHeight="1">
      <c r="J925" s="58"/>
      <c r="W925" s="58"/>
      <c r="X925" s="59"/>
      <c r="Y925" s="173"/>
      <c r="Z925" s="173"/>
    </row>
    <row r="926" spans="10:26" ht="16.5" customHeight="1">
      <c r="J926" s="58"/>
      <c r="W926" s="58"/>
      <c r="X926" s="59"/>
      <c r="Y926" s="173"/>
      <c r="Z926" s="173"/>
    </row>
    <row r="927" spans="10:26" ht="16.5" customHeight="1">
      <c r="J927" s="58"/>
      <c r="W927" s="58"/>
      <c r="X927" s="59"/>
      <c r="Y927" s="173"/>
      <c r="Z927" s="173"/>
    </row>
    <row r="928" spans="10:26" ht="16.5" customHeight="1">
      <c r="J928" s="58"/>
      <c r="W928" s="58"/>
      <c r="X928" s="59"/>
      <c r="Y928" s="173"/>
      <c r="Z928" s="173"/>
    </row>
    <row r="929" spans="10:26" ht="16.5" customHeight="1">
      <c r="J929" s="58"/>
      <c r="W929" s="58"/>
      <c r="X929" s="59"/>
      <c r="Y929" s="173"/>
      <c r="Z929" s="173"/>
    </row>
    <row r="930" spans="10:26" ht="16.5" customHeight="1">
      <c r="J930" s="58"/>
      <c r="W930" s="58"/>
      <c r="X930" s="59"/>
      <c r="Y930" s="173"/>
      <c r="Z930" s="173"/>
    </row>
    <row r="931" spans="10:26" ht="16.5" customHeight="1">
      <c r="J931" s="58"/>
      <c r="W931" s="58"/>
      <c r="X931" s="59"/>
      <c r="Y931" s="173"/>
      <c r="Z931" s="173"/>
    </row>
    <row r="932" spans="10:26" ht="16.5" customHeight="1">
      <c r="J932" s="58"/>
      <c r="W932" s="58"/>
      <c r="X932" s="59"/>
      <c r="Y932" s="173"/>
      <c r="Z932" s="173"/>
    </row>
    <row r="933" spans="10:26" ht="16.5" customHeight="1">
      <c r="J933" s="58"/>
      <c r="W933" s="58"/>
      <c r="X933" s="59"/>
      <c r="Y933" s="173"/>
      <c r="Z933" s="173"/>
    </row>
    <row r="934" spans="10:26" ht="16.5" customHeight="1">
      <c r="J934" s="58"/>
      <c r="W934" s="58"/>
      <c r="X934" s="59"/>
      <c r="Y934" s="173"/>
      <c r="Z934" s="173"/>
    </row>
    <row r="935" spans="10:26" ht="16.5" customHeight="1">
      <c r="J935" s="58"/>
      <c r="W935" s="58"/>
      <c r="X935" s="59"/>
      <c r="Y935" s="173"/>
      <c r="Z935" s="173"/>
    </row>
    <row r="936" spans="10:26" ht="16.5" customHeight="1">
      <c r="J936" s="58"/>
      <c r="W936" s="58"/>
      <c r="X936" s="59"/>
      <c r="Y936" s="173"/>
      <c r="Z936" s="173"/>
    </row>
    <row r="937" spans="10:26" ht="16.5" customHeight="1">
      <c r="J937" s="58"/>
      <c r="W937" s="58"/>
      <c r="X937" s="59"/>
      <c r="Y937" s="173"/>
      <c r="Z937" s="173"/>
    </row>
    <row r="938" spans="10:26" ht="16.5" customHeight="1">
      <c r="J938" s="58"/>
      <c r="W938" s="58"/>
      <c r="X938" s="59"/>
      <c r="Y938" s="173"/>
      <c r="Z938" s="173"/>
    </row>
    <row r="939" spans="10:26" ht="16.5" customHeight="1">
      <c r="J939" s="58"/>
      <c r="W939" s="58"/>
      <c r="X939" s="59"/>
      <c r="Y939" s="173"/>
      <c r="Z939" s="173"/>
    </row>
    <row r="940" spans="10:26" ht="16.5" customHeight="1">
      <c r="J940" s="58"/>
      <c r="W940" s="58"/>
      <c r="X940" s="59"/>
      <c r="Y940" s="173"/>
      <c r="Z940" s="173"/>
    </row>
    <row r="941" spans="10:26" ht="16.5" customHeight="1">
      <c r="J941" s="58"/>
      <c r="W941" s="58"/>
      <c r="X941" s="59"/>
      <c r="Y941" s="173"/>
      <c r="Z941" s="173"/>
    </row>
    <row r="942" spans="10:26" ht="16.5" customHeight="1">
      <c r="J942" s="58"/>
      <c r="W942" s="58"/>
      <c r="X942" s="59"/>
      <c r="Y942" s="173"/>
      <c r="Z942" s="173"/>
    </row>
    <row r="943" spans="10:26" ht="16.5" customHeight="1">
      <c r="J943" s="58"/>
      <c r="W943" s="58"/>
      <c r="X943" s="59"/>
      <c r="Y943" s="173"/>
      <c r="Z943" s="173"/>
    </row>
    <row r="944" spans="10:26" ht="16.5" customHeight="1">
      <c r="J944" s="58"/>
      <c r="W944" s="58"/>
      <c r="X944" s="59"/>
      <c r="Y944" s="173"/>
      <c r="Z944" s="173"/>
    </row>
    <row r="945" spans="10:26" ht="16.5" customHeight="1">
      <c r="J945" s="58"/>
      <c r="W945" s="58"/>
      <c r="X945" s="59"/>
      <c r="Y945" s="173"/>
      <c r="Z945" s="173"/>
    </row>
    <row r="946" spans="10:26" ht="16.5" customHeight="1">
      <c r="J946" s="58"/>
      <c r="W946" s="58"/>
      <c r="X946" s="59"/>
      <c r="Y946" s="173"/>
      <c r="Z946" s="173"/>
    </row>
    <row r="947" spans="10:26" ht="16.5" customHeight="1">
      <c r="J947" s="58"/>
      <c r="W947" s="58"/>
      <c r="X947" s="59"/>
      <c r="Y947" s="173"/>
      <c r="Z947" s="173"/>
    </row>
    <row r="948" spans="10:26" ht="16.5" customHeight="1">
      <c r="J948" s="58"/>
      <c r="W948" s="58"/>
      <c r="X948" s="59"/>
      <c r="Y948" s="173"/>
      <c r="Z948" s="173"/>
    </row>
    <row r="949" spans="10:26" ht="16.5" customHeight="1">
      <c r="J949" s="58"/>
      <c r="W949" s="58"/>
      <c r="X949" s="59"/>
      <c r="Y949" s="173"/>
      <c r="Z949" s="173"/>
    </row>
    <row r="950" spans="10:26" ht="16.5" customHeight="1">
      <c r="J950" s="58"/>
      <c r="W950" s="58"/>
      <c r="X950" s="59"/>
      <c r="Y950" s="173"/>
      <c r="Z950" s="173"/>
    </row>
    <row r="951" spans="10:26" ht="16.5" customHeight="1">
      <c r="J951" s="58"/>
      <c r="W951" s="58"/>
      <c r="X951" s="59"/>
      <c r="Y951" s="173"/>
      <c r="Z951" s="173"/>
    </row>
    <row r="952" spans="10:26" ht="16.5" customHeight="1">
      <c r="J952" s="58"/>
      <c r="W952" s="58"/>
      <c r="X952" s="59"/>
      <c r="Y952" s="173"/>
      <c r="Z952" s="173"/>
    </row>
    <row r="953" spans="10:26" ht="16.5" customHeight="1">
      <c r="J953" s="58"/>
      <c r="W953" s="58"/>
      <c r="X953" s="59"/>
      <c r="Y953" s="173"/>
      <c r="Z953" s="173"/>
    </row>
    <row r="954" spans="10:26" ht="16.5" customHeight="1">
      <c r="J954" s="58"/>
      <c r="W954" s="58"/>
      <c r="X954" s="59"/>
      <c r="Y954" s="173"/>
      <c r="Z954" s="173"/>
    </row>
    <row r="955" spans="10:26" ht="16.5" customHeight="1">
      <c r="J955" s="58"/>
      <c r="W955" s="58"/>
      <c r="X955" s="59"/>
      <c r="Y955" s="173"/>
      <c r="Z955" s="173"/>
    </row>
    <row r="956" spans="10:26" ht="16.5" customHeight="1">
      <c r="J956" s="58"/>
      <c r="W956" s="58"/>
      <c r="X956" s="59"/>
      <c r="Y956" s="173"/>
      <c r="Z956" s="173"/>
    </row>
    <row r="957" spans="10:26" ht="16.5" customHeight="1">
      <c r="J957" s="58"/>
      <c r="W957" s="58"/>
      <c r="X957" s="59"/>
      <c r="Y957" s="173"/>
      <c r="Z957" s="173"/>
    </row>
    <row r="958" spans="10:26" ht="16.5" customHeight="1">
      <c r="J958" s="58"/>
      <c r="W958" s="58"/>
      <c r="X958" s="59"/>
      <c r="Y958" s="173"/>
      <c r="Z958" s="173"/>
    </row>
    <row r="959" spans="10:26" ht="16.5" customHeight="1">
      <c r="J959" s="58"/>
      <c r="W959" s="58"/>
      <c r="X959" s="59"/>
      <c r="Y959" s="173"/>
      <c r="Z959" s="173"/>
    </row>
    <row r="960" spans="10:26" ht="16.5" customHeight="1">
      <c r="J960" s="58"/>
      <c r="W960" s="58"/>
      <c r="X960" s="59"/>
      <c r="Y960" s="173"/>
      <c r="Z960" s="173"/>
    </row>
    <row r="961" spans="10:26" ht="16.5" customHeight="1">
      <c r="J961" s="58"/>
      <c r="W961" s="58"/>
      <c r="X961" s="59"/>
      <c r="Y961" s="173"/>
      <c r="Z961" s="173"/>
    </row>
    <row r="962" spans="10:26" ht="16.5" customHeight="1">
      <c r="J962" s="58"/>
      <c r="W962" s="58"/>
      <c r="X962" s="59"/>
      <c r="Y962" s="173"/>
      <c r="Z962" s="173"/>
    </row>
    <row r="963" spans="10:26" ht="16.5" customHeight="1">
      <c r="J963" s="58"/>
      <c r="W963" s="58"/>
      <c r="X963" s="59"/>
      <c r="Y963" s="173"/>
      <c r="Z963" s="173"/>
    </row>
    <row r="964" spans="10:26" ht="16.5" customHeight="1">
      <c r="J964" s="58"/>
      <c r="W964" s="58"/>
      <c r="X964" s="59"/>
      <c r="Y964" s="173"/>
      <c r="Z964" s="173"/>
    </row>
    <row r="965" spans="10:26" ht="16.5" customHeight="1">
      <c r="J965" s="58"/>
      <c r="W965" s="58"/>
      <c r="X965" s="59"/>
      <c r="Y965" s="173"/>
      <c r="Z965" s="173"/>
    </row>
    <row r="966" spans="10:26" ht="16.5" customHeight="1">
      <c r="J966" s="58"/>
      <c r="W966" s="58"/>
      <c r="X966" s="59"/>
      <c r="Y966" s="173"/>
      <c r="Z966" s="173"/>
    </row>
    <row r="967" spans="10:26" ht="16.5" customHeight="1">
      <c r="J967" s="58"/>
      <c r="W967" s="58"/>
      <c r="X967" s="59"/>
      <c r="Y967" s="173"/>
      <c r="Z967" s="173"/>
    </row>
    <row r="968" spans="10:26" ht="16.5" customHeight="1">
      <c r="J968" s="58"/>
      <c r="W968" s="58"/>
      <c r="X968" s="59"/>
      <c r="Y968" s="173"/>
      <c r="Z968" s="173"/>
    </row>
    <row r="969" spans="10:26" ht="16.5" customHeight="1">
      <c r="J969" s="58"/>
      <c r="W969" s="58"/>
      <c r="X969" s="59"/>
      <c r="Y969" s="173"/>
      <c r="Z969" s="173"/>
    </row>
    <row r="970" spans="10:26" ht="16.5" customHeight="1">
      <c r="J970" s="58"/>
      <c r="W970" s="58"/>
      <c r="X970" s="59"/>
      <c r="Y970" s="173"/>
      <c r="Z970" s="173"/>
    </row>
    <row r="971" spans="10:26" ht="16.5" customHeight="1">
      <c r="J971" s="58"/>
      <c r="W971" s="58"/>
      <c r="X971" s="59"/>
      <c r="Y971" s="173"/>
      <c r="Z971" s="173"/>
    </row>
    <row r="972" spans="10:26" ht="16.5" customHeight="1">
      <c r="J972" s="58"/>
      <c r="W972" s="58"/>
      <c r="X972" s="59"/>
      <c r="Y972" s="173"/>
      <c r="Z972" s="173"/>
    </row>
    <row r="973" spans="10:26" ht="16.5" customHeight="1">
      <c r="J973" s="58"/>
      <c r="W973" s="58"/>
      <c r="X973" s="59"/>
      <c r="Y973" s="173"/>
      <c r="Z973" s="173"/>
    </row>
    <row r="974" spans="10:26" ht="16.5" customHeight="1">
      <c r="J974" s="58"/>
      <c r="W974" s="58"/>
      <c r="X974" s="59"/>
      <c r="Y974" s="173"/>
      <c r="Z974" s="173"/>
    </row>
    <row r="975" spans="10:26" ht="16.5" customHeight="1">
      <c r="J975" s="58"/>
      <c r="W975" s="58"/>
      <c r="X975" s="59"/>
      <c r="Y975" s="173"/>
      <c r="Z975" s="173"/>
    </row>
    <row r="976" spans="10:26" ht="16.5" customHeight="1">
      <c r="J976" s="58"/>
      <c r="W976" s="58"/>
      <c r="X976" s="59"/>
      <c r="Y976" s="173"/>
      <c r="Z976" s="173"/>
    </row>
    <row r="977" spans="10:26" ht="16.5" customHeight="1">
      <c r="J977" s="58"/>
      <c r="W977" s="58"/>
      <c r="X977" s="59"/>
      <c r="Y977" s="173"/>
      <c r="Z977" s="173"/>
    </row>
    <row r="978" spans="10:26" ht="16.5" customHeight="1">
      <c r="J978" s="58"/>
      <c r="W978" s="58"/>
      <c r="X978" s="59"/>
      <c r="Y978" s="173"/>
      <c r="Z978" s="173"/>
    </row>
    <row r="979" spans="10:26" ht="16.5" customHeight="1">
      <c r="J979" s="58"/>
      <c r="W979" s="58"/>
      <c r="X979" s="59"/>
      <c r="Y979" s="173"/>
      <c r="Z979" s="173"/>
    </row>
    <row r="980" spans="10:26" ht="16.5" customHeight="1">
      <c r="J980" s="58"/>
      <c r="W980" s="58"/>
      <c r="X980" s="59"/>
      <c r="Y980" s="173"/>
      <c r="Z980" s="173"/>
    </row>
    <row r="981" spans="10:26" ht="16.5" customHeight="1">
      <c r="J981" s="58"/>
      <c r="W981" s="58"/>
      <c r="X981" s="59"/>
      <c r="Y981" s="173"/>
      <c r="Z981" s="173"/>
    </row>
    <row r="982" spans="10:26" ht="16.5" customHeight="1">
      <c r="J982" s="58"/>
      <c r="W982" s="58"/>
      <c r="X982" s="59"/>
      <c r="Y982" s="173"/>
      <c r="Z982" s="173"/>
    </row>
    <row r="983" spans="10:26" ht="16.5" customHeight="1">
      <c r="J983" s="58"/>
      <c r="W983" s="58"/>
      <c r="X983" s="59"/>
      <c r="Y983" s="173"/>
      <c r="Z983" s="173"/>
    </row>
    <row r="984" spans="10:26" ht="16.5" customHeight="1">
      <c r="J984" s="58"/>
      <c r="W984" s="58"/>
      <c r="X984" s="59"/>
      <c r="Y984" s="173"/>
      <c r="Z984" s="173"/>
    </row>
    <row r="985" spans="10:26" ht="16.5" customHeight="1">
      <c r="J985" s="58"/>
      <c r="W985" s="58"/>
      <c r="X985" s="59"/>
      <c r="Y985" s="173"/>
      <c r="Z985" s="173"/>
    </row>
    <row r="986" spans="10:26" ht="16.5" customHeight="1">
      <c r="J986" s="58"/>
      <c r="W986" s="58"/>
      <c r="X986" s="59"/>
      <c r="Y986" s="173"/>
      <c r="Z986" s="173"/>
    </row>
    <row r="987" spans="10:26" ht="16.5" customHeight="1">
      <c r="J987" s="58"/>
      <c r="W987" s="58"/>
      <c r="X987" s="59"/>
      <c r="Y987" s="173"/>
      <c r="Z987" s="173"/>
    </row>
    <row r="988" spans="10:26" ht="16.5" customHeight="1">
      <c r="J988" s="58"/>
      <c r="W988" s="58"/>
      <c r="X988" s="59"/>
      <c r="Y988" s="173"/>
      <c r="Z988" s="173"/>
    </row>
    <row r="989" spans="10:26" ht="16.5" customHeight="1">
      <c r="J989" s="58"/>
      <c r="W989" s="58"/>
      <c r="X989" s="59"/>
      <c r="Y989" s="173"/>
      <c r="Z989" s="173"/>
    </row>
    <row r="990" spans="10:26" ht="16.5" customHeight="1">
      <c r="J990" s="58"/>
      <c r="W990" s="58"/>
      <c r="X990" s="59"/>
      <c r="Y990" s="173"/>
      <c r="Z990" s="173"/>
    </row>
    <row r="991" spans="10:26" ht="16.5" customHeight="1">
      <c r="J991" s="58"/>
      <c r="W991" s="58"/>
      <c r="X991" s="59"/>
      <c r="Y991" s="173"/>
      <c r="Z991" s="173"/>
    </row>
    <row r="992" spans="10:26" ht="16.5" customHeight="1">
      <c r="J992" s="58"/>
      <c r="W992" s="58"/>
      <c r="X992" s="59"/>
      <c r="Y992" s="173"/>
      <c r="Z992" s="173"/>
    </row>
    <row r="993" spans="10:26" ht="16.5" customHeight="1">
      <c r="J993" s="58"/>
      <c r="W993" s="58"/>
      <c r="X993" s="59"/>
      <c r="Y993" s="173"/>
      <c r="Z993" s="173"/>
    </row>
    <row r="994" spans="10:26" ht="16.5" customHeight="1">
      <c r="J994" s="58"/>
      <c r="W994" s="58"/>
      <c r="X994" s="59"/>
      <c r="Y994" s="173"/>
      <c r="Z994" s="173"/>
    </row>
    <row r="995" spans="10:26" ht="16.5" customHeight="1">
      <c r="J995" s="58"/>
      <c r="W995" s="58"/>
      <c r="X995" s="59"/>
      <c r="Y995" s="173"/>
      <c r="Z995" s="173"/>
    </row>
    <row r="996" spans="10:26" ht="16.5" customHeight="1">
      <c r="J996" s="58"/>
      <c r="W996" s="58"/>
      <c r="X996" s="59"/>
      <c r="Y996" s="173"/>
      <c r="Z996" s="173"/>
    </row>
    <row r="997" spans="10:26" ht="16.5" customHeight="1">
      <c r="J997" s="58"/>
      <c r="W997" s="58"/>
      <c r="X997" s="59"/>
      <c r="Y997" s="173"/>
      <c r="Z997" s="173"/>
    </row>
    <row r="998" spans="10:26" ht="16.5" customHeight="1">
      <c r="J998" s="58"/>
      <c r="W998" s="58"/>
      <c r="X998" s="59"/>
      <c r="Y998" s="173"/>
      <c r="Z998" s="173"/>
    </row>
    <row r="999" spans="10:26" ht="16.5" customHeight="1">
      <c r="J999" s="58"/>
      <c r="W999" s="58"/>
      <c r="X999" s="59"/>
      <c r="Y999" s="173"/>
      <c r="Z999" s="173"/>
    </row>
    <row r="1000" spans="10:26" ht="16.5" customHeight="1">
      <c r="J1000" s="58"/>
      <c r="W1000" s="58"/>
      <c r="X1000" s="59"/>
      <c r="Y1000" s="173"/>
      <c r="Z1000" s="173"/>
    </row>
  </sheetData>
  <mergeCells count="126">
    <mergeCell ref="AJ9:AJ11"/>
    <mergeCell ref="AR9:AR11"/>
    <mergeCell ref="AJ12:AJ14"/>
    <mergeCell ref="AR12:AR14"/>
    <mergeCell ref="AR15:AR17"/>
    <mergeCell ref="AS35:AX35"/>
    <mergeCell ref="AS36:AX36"/>
    <mergeCell ref="AJ15:AJ17"/>
    <mergeCell ref="AS40:AX40"/>
    <mergeCell ref="AS41:AX41"/>
    <mergeCell ref="AS42:AX42"/>
    <mergeCell ref="AR18:AR20"/>
    <mergeCell ref="AL21:AQ21"/>
    <mergeCell ref="AJ27:AJ29"/>
    <mergeCell ref="AR27:AR29"/>
    <mergeCell ref="AJ30:AJ32"/>
    <mergeCell ref="AR30:AR32"/>
    <mergeCell ref="AS34:AX34"/>
    <mergeCell ref="AK41:AP41"/>
    <mergeCell ref="AK42:AP42"/>
    <mergeCell ref="AK34:AP34"/>
    <mergeCell ref="AK35:AP35"/>
    <mergeCell ref="AK36:AP36"/>
    <mergeCell ref="AK37:AP37"/>
    <mergeCell ref="AK38:AP38"/>
    <mergeCell ref="AK39:AP39"/>
    <mergeCell ref="AK40:AP40"/>
    <mergeCell ref="AJ18:AJ20"/>
    <mergeCell ref="J1:P1"/>
    <mergeCell ref="S1:Y1"/>
    <mergeCell ref="AB1:AH1"/>
    <mergeCell ref="AK1:AQ1"/>
    <mergeCell ref="AS1:AY1"/>
    <mergeCell ref="BA1:BG1"/>
    <mergeCell ref="BI1:BO1"/>
    <mergeCell ref="AA3:AA5"/>
    <mergeCell ref="AA6:AA8"/>
    <mergeCell ref="AJ3:AJ5"/>
    <mergeCell ref="AJ6:AJ8"/>
    <mergeCell ref="AR3:AR5"/>
    <mergeCell ref="AR6:AR8"/>
    <mergeCell ref="AA9:AA11"/>
    <mergeCell ref="AA12:AA14"/>
    <mergeCell ref="AA15:AA17"/>
    <mergeCell ref="AA18:AA20"/>
    <mergeCell ref="AA21:AA23"/>
    <mergeCell ref="AA24:AA26"/>
    <mergeCell ref="B1:G1"/>
    <mergeCell ref="A3:A5"/>
    <mergeCell ref="R3:R5"/>
    <mergeCell ref="A6:A8"/>
    <mergeCell ref="R6:R8"/>
    <mergeCell ref="R15:R17"/>
    <mergeCell ref="R18:R20"/>
    <mergeCell ref="R21:R23"/>
    <mergeCell ref="R24:R26"/>
    <mergeCell ref="I3:I5"/>
    <mergeCell ref="I6:I8"/>
    <mergeCell ref="A9:A11"/>
    <mergeCell ref="I9:I11"/>
    <mergeCell ref="R9:R11"/>
    <mergeCell ref="I12:I14"/>
    <mergeCell ref="R12:R14"/>
    <mergeCell ref="I15:I17"/>
    <mergeCell ref="I18:I20"/>
    <mergeCell ref="AB38:AG38"/>
    <mergeCell ref="AB39:AG39"/>
    <mergeCell ref="AC21:AH21"/>
    <mergeCell ref="AJ21:AJ23"/>
    <mergeCell ref="AR21:AR23"/>
    <mergeCell ref="AT21:AY21"/>
    <mergeCell ref="AJ24:AJ26"/>
    <mergeCell ref="AR24:AR26"/>
    <mergeCell ref="I21:I23"/>
    <mergeCell ref="I24:I26"/>
    <mergeCell ref="S37:X37"/>
    <mergeCell ref="I30:I32"/>
    <mergeCell ref="I27:I29"/>
    <mergeCell ref="R27:R29"/>
    <mergeCell ref="AA27:AA29"/>
    <mergeCell ref="R30:R32"/>
    <mergeCell ref="AA30:AA32"/>
    <mergeCell ref="J34:O34"/>
    <mergeCell ref="AS37:AX37"/>
    <mergeCell ref="AS38:AX38"/>
    <mergeCell ref="AS39:AX39"/>
    <mergeCell ref="A12:A14"/>
    <mergeCell ref="A15:A17"/>
    <mergeCell ref="A18:A20"/>
    <mergeCell ref="A21:A23"/>
    <mergeCell ref="A24:A26"/>
    <mergeCell ref="A27:A29"/>
    <mergeCell ref="A30:A32"/>
    <mergeCell ref="J37:O37"/>
    <mergeCell ref="J38:O38"/>
    <mergeCell ref="B34:G34"/>
    <mergeCell ref="B35:G35"/>
    <mergeCell ref="J35:O35"/>
    <mergeCell ref="B36:G36"/>
    <mergeCell ref="J36:O36"/>
    <mergeCell ref="B37:G37"/>
    <mergeCell ref="B38:G38"/>
    <mergeCell ref="BQ1:BW1"/>
    <mergeCell ref="AB40:AG40"/>
    <mergeCell ref="AB41:AG41"/>
    <mergeCell ref="AB42:AG42"/>
    <mergeCell ref="B41:G41"/>
    <mergeCell ref="B42:G42"/>
    <mergeCell ref="J42:O42"/>
    <mergeCell ref="S42:X42"/>
    <mergeCell ref="B39:G39"/>
    <mergeCell ref="J39:O39"/>
    <mergeCell ref="B40:G40"/>
    <mergeCell ref="J40:O40"/>
    <mergeCell ref="S40:X40"/>
    <mergeCell ref="J41:O41"/>
    <mergeCell ref="S41:X41"/>
    <mergeCell ref="S38:X38"/>
    <mergeCell ref="S39:X39"/>
    <mergeCell ref="S34:X34"/>
    <mergeCell ref="AB34:AG34"/>
    <mergeCell ref="S35:X35"/>
    <mergeCell ref="AB35:AG35"/>
    <mergeCell ref="S36:X36"/>
    <mergeCell ref="AB36:AG36"/>
    <mergeCell ref="AB37:AG37"/>
  </mergeCells>
  <phoneticPr fontId="26" type="noConversion"/>
  <pageMargins left="0.7" right="0.7" top="0.75" bottom="0.75" header="0" footer="0"/>
  <pageSetup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workbookViewId="0"/>
  </sheetViews>
  <sheetFormatPr baseColWidth="10" defaultColWidth="14.5" defaultRowHeight="15" customHeight="1"/>
  <cols>
    <col min="1" max="4" width="9" customWidth="1"/>
    <col min="5" max="5" width="14.5" customWidth="1"/>
    <col min="6" max="8" width="9" customWidth="1"/>
    <col min="9" max="26" width="8.6640625" customWidth="1"/>
  </cols>
  <sheetData>
    <row r="1" spans="1:8" ht="14.25" customHeight="1">
      <c r="A1" s="174"/>
      <c r="B1" s="2" t="s">
        <v>6</v>
      </c>
      <c r="C1" s="187"/>
      <c r="D1" s="187"/>
      <c r="E1" s="187"/>
      <c r="F1" s="187"/>
      <c r="G1" s="187"/>
      <c r="H1" s="188"/>
    </row>
    <row r="2" spans="1:8" ht="14.25" customHeight="1">
      <c r="A2" s="4" t="s">
        <v>8</v>
      </c>
      <c r="B2" s="23" t="s">
        <v>9</v>
      </c>
      <c r="C2" s="24" t="s">
        <v>15</v>
      </c>
      <c r="D2" s="25" t="s">
        <v>16</v>
      </c>
      <c r="E2" s="26" t="s">
        <v>11</v>
      </c>
      <c r="F2" s="27" t="s">
        <v>12</v>
      </c>
      <c r="G2" s="28" t="s">
        <v>13</v>
      </c>
      <c r="H2" s="29" t="s">
        <v>14</v>
      </c>
    </row>
    <row r="3" spans="1:8" ht="14.25" customHeight="1">
      <c r="A3" s="49" t="s">
        <v>17</v>
      </c>
      <c r="B3" s="50">
        <v>1</v>
      </c>
      <c r="C3" s="38" t="s">
        <v>29</v>
      </c>
      <c r="D3" s="51" t="s">
        <v>26</v>
      </c>
      <c r="E3" s="40" t="s">
        <v>30</v>
      </c>
      <c r="F3" s="45" t="s">
        <v>19</v>
      </c>
      <c r="G3" s="46">
        <v>0.35416666666666702</v>
      </c>
      <c r="H3" s="52">
        <v>203</v>
      </c>
    </row>
    <row r="4" spans="1:8" ht="14.25" customHeight="1">
      <c r="A4" s="49"/>
      <c r="B4" s="64">
        <v>2</v>
      </c>
      <c r="C4" s="38" t="s">
        <v>20</v>
      </c>
      <c r="D4" s="65" t="s">
        <v>21</v>
      </c>
      <c r="E4" s="40" t="s">
        <v>35</v>
      </c>
      <c r="F4" s="45" t="s">
        <v>23</v>
      </c>
      <c r="G4" s="46">
        <v>0.35416666666666702</v>
      </c>
      <c r="H4" s="66">
        <v>357</v>
      </c>
    </row>
    <row r="5" spans="1:8" ht="14.25" customHeight="1">
      <c r="A5" s="49"/>
      <c r="B5" s="50"/>
      <c r="C5" s="69"/>
      <c r="D5" s="70"/>
      <c r="E5" s="70"/>
      <c r="F5" s="71"/>
      <c r="G5" s="72"/>
      <c r="H5" s="74"/>
    </row>
    <row r="6" spans="1:8" ht="14.25" customHeight="1">
      <c r="A6" s="4" t="s">
        <v>36</v>
      </c>
      <c r="B6" s="64">
        <v>3</v>
      </c>
      <c r="C6" s="40" t="s">
        <v>47</v>
      </c>
      <c r="D6" s="51" t="s">
        <v>26</v>
      </c>
      <c r="E6" s="40" t="s">
        <v>41</v>
      </c>
      <c r="F6" s="45" t="s">
        <v>38</v>
      </c>
      <c r="G6" s="46">
        <v>0.64583333333333304</v>
      </c>
      <c r="H6" s="81"/>
    </row>
    <row r="7" spans="1:8" ht="14.25" customHeight="1">
      <c r="A7" s="4"/>
      <c r="B7" s="64">
        <v>4</v>
      </c>
      <c r="C7" s="40" t="s">
        <v>59</v>
      </c>
      <c r="D7" s="51" t="s">
        <v>26</v>
      </c>
      <c r="E7" s="40" t="s">
        <v>52</v>
      </c>
      <c r="F7" s="45" t="s">
        <v>38</v>
      </c>
      <c r="G7" s="46">
        <v>0.64583333333333304</v>
      </c>
      <c r="H7" s="81"/>
    </row>
    <row r="8" spans="1:8" ht="14.25" customHeight="1">
      <c r="A8" s="4"/>
      <c r="B8" s="84"/>
      <c r="C8" s="4"/>
      <c r="D8" s="4"/>
      <c r="E8" s="4"/>
      <c r="F8" s="58"/>
      <c r="G8" s="59"/>
      <c r="H8" s="85"/>
    </row>
    <row r="9" spans="1:8" ht="14.25" customHeight="1">
      <c r="A9" s="91" t="s">
        <v>60</v>
      </c>
      <c r="B9" s="92">
        <v>5</v>
      </c>
      <c r="C9" s="40" t="s">
        <v>69</v>
      </c>
      <c r="D9" s="51" t="s">
        <v>26</v>
      </c>
      <c r="E9" s="40" t="s">
        <v>63</v>
      </c>
      <c r="F9" s="45" t="s">
        <v>38</v>
      </c>
      <c r="G9" s="46">
        <v>0.64583333333333304</v>
      </c>
      <c r="H9" s="81"/>
    </row>
    <row r="10" spans="1:8" ht="14.25" customHeight="1">
      <c r="A10" s="91"/>
      <c r="B10" s="92">
        <v>6</v>
      </c>
      <c r="C10" s="40" t="s">
        <v>77</v>
      </c>
      <c r="D10" s="51" t="s">
        <v>26</v>
      </c>
      <c r="E10" s="40" t="s">
        <v>56</v>
      </c>
      <c r="F10" s="45" t="s">
        <v>38</v>
      </c>
      <c r="G10" s="46">
        <v>0.64583333333333304</v>
      </c>
      <c r="H10" s="81"/>
    </row>
    <row r="11" spans="1:8" ht="14.25" customHeight="1">
      <c r="A11" s="91"/>
      <c r="B11" s="92"/>
      <c r="C11" s="94"/>
      <c r="D11" s="101"/>
      <c r="E11" s="96"/>
      <c r="F11" s="97"/>
      <c r="G11" s="98"/>
      <c r="H11" s="102"/>
    </row>
    <row r="12" spans="1:8" ht="14.25" customHeight="1">
      <c r="A12" s="105" t="s">
        <v>80</v>
      </c>
      <c r="B12" s="64">
        <v>7</v>
      </c>
      <c r="C12" s="54" t="s">
        <v>82</v>
      </c>
      <c r="D12" s="51" t="s">
        <v>26</v>
      </c>
      <c r="E12" s="40" t="s">
        <v>66</v>
      </c>
      <c r="F12" s="45" t="s">
        <v>38</v>
      </c>
      <c r="G12" s="46">
        <v>0.64583333333333304</v>
      </c>
      <c r="H12" s="81"/>
    </row>
    <row r="13" spans="1:8" ht="14.25" customHeight="1">
      <c r="A13" s="105"/>
      <c r="B13" s="64">
        <v>8</v>
      </c>
      <c r="C13" s="54" t="s">
        <v>95</v>
      </c>
      <c r="D13" s="65" t="s">
        <v>21</v>
      </c>
      <c r="E13" s="40" t="s">
        <v>89</v>
      </c>
      <c r="F13" s="45" t="s">
        <v>38</v>
      </c>
      <c r="G13" s="46"/>
      <c r="H13" s="81"/>
    </row>
    <row r="14" spans="1:8" ht="14.25" customHeight="1">
      <c r="A14" s="105"/>
      <c r="B14" s="84"/>
      <c r="C14" s="4"/>
      <c r="D14" s="4"/>
      <c r="E14" s="4"/>
      <c r="F14" s="58"/>
      <c r="G14" s="59"/>
      <c r="H14" s="85"/>
    </row>
    <row r="15" spans="1:8" ht="14.25" customHeight="1">
      <c r="A15" s="49" t="s">
        <v>97</v>
      </c>
      <c r="B15" s="50">
        <v>9</v>
      </c>
      <c r="C15" s="108" t="s">
        <v>105</v>
      </c>
      <c r="D15" s="51" t="s">
        <v>26</v>
      </c>
      <c r="E15" s="40" t="s">
        <v>100</v>
      </c>
      <c r="F15" s="45" t="s">
        <v>38</v>
      </c>
      <c r="G15" s="46">
        <v>0.64583333333333304</v>
      </c>
      <c r="H15" s="81"/>
    </row>
    <row r="16" spans="1:8" ht="14.25" customHeight="1">
      <c r="A16" s="49"/>
      <c r="B16" s="50">
        <v>10</v>
      </c>
      <c r="C16" s="108" t="s">
        <v>113</v>
      </c>
      <c r="D16" s="65" t="s">
        <v>21</v>
      </c>
      <c r="E16" s="40" t="s">
        <v>109</v>
      </c>
      <c r="F16" s="45"/>
      <c r="G16" s="46"/>
      <c r="H16" s="81"/>
    </row>
    <row r="17" spans="1:8" ht="14.25" customHeight="1">
      <c r="A17" s="49"/>
      <c r="B17" s="111"/>
      <c r="C17" s="4"/>
      <c r="D17" s="4"/>
      <c r="E17" s="4"/>
      <c r="F17" s="58"/>
      <c r="G17" s="59"/>
      <c r="H17" s="85"/>
    </row>
    <row r="18" spans="1:8" ht="14.25" customHeight="1">
      <c r="A18" s="4" t="s">
        <v>117</v>
      </c>
      <c r="B18" s="112">
        <v>11</v>
      </c>
      <c r="C18" s="108" t="s">
        <v>121</v>
      </c>
      <c r="D18" s="113" t="s">
        <v>125</v>
      </c>
      <c r="E18" s="40" t="s">
        <v>118</v>
      </c>
      <c r="F18" s="45" t="s">
        <v>38</v>
      </c>
      <c r="G18" s="46">
        <v>0.64583333333333304</v>
      </c>
      <c r="H18" s="81"/>
    </row>
    <row r="19" spans="1:8" ht="14.25" customHeight="1">
      <c r="A19" s="4"/>
      <c r="B19" s="112">
        <v>12</v>
      </c>
      <c r="C19" s="108" t="s">
        <v>129</v>
      </c>
      <c r="D19" s="51" t="s">
        <v>26</v>
      </c>
      <c r="E19" s="40" t="s">
        <v>44</v>
      </c>
      <c r="F19" s="45" t="s">
        <v>38</v>
      </c>
      <c r="G19" s="46">
        <v>0.64583333333333304</v>
      </c>
      <c r="H19" s="81"/>
    </row>
    <row r="20" spans="1:8" ht="14.25" customHeight="1">
      <c r="A20" s="49" t="s">
        <v>133</v>
      </c>
      <c r="B20" s="115"/>
      <c r="C20" s="116"/>
      <c r="D20" s="117"/>
      <c r="E20" s="117"/>
      <c r="F20" s="117"/>
      <c r="G20" s="117"/>
      <c r="H20" s="118"/>
    </row>
    <row r="21" spans="1:8" ht="14.25" customHeight="1">
      <c r="A21" s="4" t="s">
        <v>137</v>
      </c>
      <c r="B21" s="112">
        <v>13</v>
      </c>
      <c r="C21" s="40" t="s">
        <v>138</v>
      </c>
      <c r="D21" s="51" t="s">
        <v>26</v>
      </c>
      <c r="E21" s="40" t="s">
        <v>139</v>
      </c>
      <c r="F21" s="45" t="s">
        <v>38</v>
      </c>
      <c r="G21" s="120">
        <v>0.64583333333333304</v>
      </c>
      <c r="H21" s="81"/>
    </row>
    <row r="22" spans="1:8" ht="14.25" customHeight="1">
      <c r="A22" s="4"/>
      <c r="B22" s="112">
        <v>14</v>
      </c>
      <c r="C22" s="108" t="s">
        <v>141</v>
      </c>
      <c r="D22" s="51" t="s">
        <v>26</v>
      </c>
      <c r="E22" s="40" t="s">
        <v>114</v>
      </c>
      <c r="F22" s="45" t="s">
        <v>38</v>
      </c>
      <c r="G22" s="41">
        <v>0.64583333333333304</v>
      </c>
      <c r="H22" s="81"/>
    </row>
    <row r="23" spans="1:8" ht="14.25" customHeight="1">
      <c r="A23" s="4"/>
      <c r="B23" s="132"/>
      <c r="C23" s="4"/>
      <c r="D23" s="4"/>
      <c r="E23" s="4"/>
      <c r="F23" s="58"/>
      <c r="G23" s="59"/>
      <c r="H23" s="85"/>
    </row>
    <row r="24" spans="1:8" ht="14.25" customHeight="1">
      <c r="A24" s="49" t="s">
        <v>151</v>
      </c>
      <c r="B24" s="50">
        <v>15</v>
      </c>
      <c r="C24" s="108" t="s">
        <v>152</v>
      </c>
      <c r="D24" s="51" t="s">
        <v>26</v>
      </c>
      <c r="E24" s="55" t="s">
        <v>126</v>
      </c>
      <c r="F24" s="45" t="s">
        <v>38</v>
      </c>
      <c r="G24" s="41">
        <v>0.64583333333333304</v>
      </c>
      <c r="H24" s="81"/>
    </row>
    <row r="25" spans="1:8" ht="14.25" customHeight="1">
      <c r="A25" s="49"/>
      <c r="B25" s="50">
        <v>16</v>
      </c>
      <c r="C25" s="108" t="s">
        <v>158</v>
      </c>
      <c r="D25" s="51" t="s">
        <v>26</v>
      </c>
      <c r="E25" s="40" t="s">
        <v>144</v>
      </c>
      <c r="F25" s="45" t="s">
        <v>38</v>
      </c>
      <c r="G25" s="41">
        <v>0.64583333333333304</v>
      </c>
      <c r="H25" s="81"/>
    </row>
    <row r="26" spans="1:8" ht="14.25" customHeight="1">
      <c r="A26" s="49"/>
      <c r="B26" s="111"/>
      <c r="C26" s="4"/>
      <c r="D26" s="4"/>
      <c r="E26" s="4"/>
      <c r="F26" s="58"/>
      <c r="G26" s="59"/>
      <c r="H26" s="136"/>
    </row>
    <row r="27" spans="1:8" ht="14.25" customHeight="1">
      <c r="A27" s="4" t="s">
        <v>167</v>
      </c>
      <c r="B27" s="112">
        <v>17</v>
      </c>
      <c r="C27" s="108" t="s">
        <v>168</v>
      </c>
      <c r="D27" s="51" t="s">
        <v>26</v>
      </c>
      <c r="E27" s="40" t="s">
        <v>169</v>
      </c>
      <c r="F27" s="45" t="s">
        <v>38</v>
      </c>
      <c r="G27" s="138">
        <v>0.64583333333333304</v>
      </c>
      <c r="H27" s="136"/>
    </row>
    <row r="28" spans="1:8" ht="14.25" customHeight="1">
      <c r="A28" s="4"/>
      <c r="B28" s="112">
        <v>18</v>
      </c>
      <c r="C28" s="108" t="s">
        <v>177</v>
      </c>
      <c r="D28" s="51" t="s">
        <v>26</v>
      </c>
      <c r="E28" s="40" t="s">
        <v>18</v>
      </c>
      <c r="F28" s="45" t="s">
        <v>38</v>
      </c>
      <c r="G28" s="138">
        <v>0.64583333333333304</v>
      </c>
      <c r="H28" s="81"/>
    </row>
    <row r="29" spans="1:8" ht="14.25" customHeight="1">
      <c r="A29" s="4"/>
      <c r="B29" s="140"/>
      <c r="C29" s="141"/>
      <c r="D29" s="142"/>
      <c r="E29" s="4"/>
      <c r="F29" s="58"/>
      <c r="G29" s="4"/>
      <c r="H29" s="143"/>
    </row>
    <row r="30" spans="1:8" ht="14.25" customHeight="1">
      <c r="A30" s="145" t="s">
        <v>242</v>
      </c>
      <c r="B30" s="146">
        <v>19</v>
      </c>
      <c r="C30" s="147" t="s">
        <v>186</v>
      </c>
      <c r="D30" s="51" t="s">
        <v>26</v>
      </c>
      <c r="E30" s="40" t="s">
        <v>187</v>
      </c>
      <c r="F30" s="148" t="s">
        <v>188</v>
      </c>
      <c r="G30" s="46">
        <v>0.44791666666666669</v>
      </c>
      <c r="H30" s="149"/>
    </row>
    <row r="31" spans="1:8" ht="14.25" customHeight="1">
      <c r="A31" s="145"/>
      <c r="B31" s="146">
        <v>20</v>
      </c>
      <c r="C31" s="147" t="s">
        <v>186</v>
      </c>
      <c r="D31" s="51" t="s">
        <v>26</v>
      </c>
      <c r="E31" s="40" t="s">
        <v>197</v>
      </c>
      <c r="F31" s="148" t="s">
        <v>188</v>
      </c>
      <c r="G31" s="46">
        <v>0.44791666666666669</v>
      </c>
      <c r="H31" s="149"/>
    </row>
    <row r="32" spans="1:8" ht="14.25" customHeight="1">
      <c r="A32" s="145"/>
      <c r="B32" s="165">
        <v>21</v>
      </c>
      <c r="C32" s="166" t="s">
        <v>186</v>
      </c>
      <c r="D32" s="167" t="s">
        <v>21</v>
      </c>
      <c r="E32" s="168" t="s">
        <v>35</v>
      </c>
      <c r="F32" s="169" t="s">
        <v>188</v>
      </c>
      <c r="G32" s="170">
        <v>0.4375</v>
      </c>
      <c r="H32" s="171"/>
    </row>
    <row r="33" spans="1:8" ht="14.25" customHeight="1">
      <c r="A33" s="174"/>
      <c r="B33" s="174"/>
      <c r="C33" s="174"/>
      <c r="D33" s="174"/>
      <c r="E33" s="174"/>
      <c r="F33" s="58"/>
      <c r="G33" s="59"/>
      <c r="H33" s="173"/>
    </row>
    <row r="34" spans="1:8" ht="14.25" customHeight="1">
      <c r="A34" s="174"/>
      <c r="B34" s="174"/>
      <c r="C34" s="174"/>
      <c r="D34" s="174"/>
      <c r="E34" s="174"/>
      <c r="F34" s="58"/>
      <c r="G34" s="59"/>
      <c r="H34" s="173"/>
    </row>
    <row r="35" spans="1:8" ht="14.25" customHeight="1">
      <c r="A35" s="174"/>
      <c r="B35" s="174"/>
      <c r="C35" s="174"/>
      <c r="D35" s="174"/>
      <c r="E35" s="174"/>
      <c r="F35" s="58"/>
      <c r="G35" s="59"/>
      <c r="H35" s="173"/>
    </row>
    <row r="36" spans="1:8" ht="14.25" customHeight="1">
      <c r="A36" s="174"/>
      <c r="B36" s="177" t="s">
        <v>218</v>
      </c>
      <c r="C36" s="178"/>
      <c r="D36" s="178"/>
      <c r="E36" s="178"/>
      <c r="F36" s="178"/>
      <c r="G36" s="178"/>
      <c r="H36" s="179"/>
    </row>
    <row r="37" spans="1:8" ht="14.25" customHeight="1">
      <c r="A37" s="174"/>
      <c r="B37" s="180" t="s">
        <v>224</v>
      </c>
      <c r="C37" s="181"/>
      <c r="D37" s="181"/>
      <c r="E37" s="181"/>
      <c r="F37" s="181"/>
      <c r="G37" s="181"/>
      <c r="H37" s="182"/>
    </row>
    <row r="38" spans="1:8" ht="14.25" customHeight="1">
      <c r="A38" s="174"/>
      <c r="B38" s="180" t="s">
        <v>228</v>
      </c>
      <c r="C38" s="181"/>
      <c r="D38" s="181"/>
      <c r="E38" s="181"/>
      <c r="F38" s="181"/>
      <c r="G38" s="181"/>
      <c r="H38" s="182"/>
    </row>
    <row r="39" spans="1:8" ht="14.25" customHeight="1">
      <c r="A39" s="174"/>
      <c r="B39" s="180" t="s">
        <v>232</v>
      </c>
      <c r="C39" s="181"/>
      <c r="D39" s="181"/>
      <c r="E39" s="181"/>
      <c r="F39" s="181"/>
      <c r="G39" s="181"/>
      <c r="H39" s="182"/>
    </row>
    <row r="40" spans="1:8" ht="14.25" customHeight="1">
      <c r="A40" s="174"/>
      <c r="B40" s="180" t="s">
        <v>227</v>
      </c>
      <c r="C40" s="181"/>
      <c r="D40" s="181"/>
      <c r="E40" s="181"/>
      <c r="F40" s="181"/>
      <c r="G40" s="181"/>
      <c r="H40" s="182"/>
    </row>
    <row r="41" spans="1:8" ht="14.25" customHeight="1">
      <c r="A41" s="174"/>
      <c r="B41" s="180" t="s">
        <v>231</v>
      </c>
      <c r="C41" s="181"/>
      <c r="D41" s="181"/>
      <c r="E41" s="181"/>
      <c r="F41" s="181"/>
      <c r="G41" s="181"/>
      <c r="H41" s="182"/>
    </row>
    <row r="42" spans="1:8" ht="14.25" customHeight="1">
      <c r="A42" s="174"/>
      <c r="B42" s="180" t="s">
        <v>235</v>
      </c>
      <c r="C42" s="181"/>
      <c r="D42" s="181"/>
      <c r="E42" s="181"/>
      <c r="F42" s="181"/>
      <c r="G42" s="181"/>
      <c r="H42" s="182"/>
    </row>
    <row r="43" spans="1:8" ht="14.25" customHeight="1">
      <c r="A43" s="174"/>
      <c r="B43" s="180" t="s">
        <v>238</v>
      </c>
      <c r="C43" s="181"/>
      <c r="D43" s="181"/>
      <c r="E43" s="181"/>
      <c r="F43" s="181"/>
      <c r="G43" s="181"/>
      <c r="H43" s="182"/>
    </row>
    <row r="44" spans="1:8" ht="14.25" customHeight="1">
      <c r="A44" s="174"/>
      <c r="B44" s="184" t="s">
        <v>241</v>
      </c>
      <c r="C44" s="185"/>
      <c r="D44" s="185"/>
      <c r="E44" s="185"/>
      <c r="F44" s="185"/>
      <c r="G44" s="185"/>
      <c r="H44" s="186"/>
    </row>
    <row r="45" spans="1:8" ht="14.25" customHeight="1">
      <c r="A45" s="174"/>
      <c r="B45" s="174"/>
      <c r="C45" s="174"/>
      <c r="D45" s="174"/>
      <c r="E45" s="174"/>
      <c r="F45" s="174"/>
      <c r="G45" s="174"/>
      <c r="H45" s="174"/>
    </row>
    <row r="46" spans="1:8" ht="14.25" customHeight="1">
      <c r="A46" s="174"/>
      <c r="B46" s="174"/>
      <c r="C46" s="174"/>
      <c r="D46" s="174"/>
      <c r="E46" s="174"/>
      <c r="F46" s="174"/>
      <c r="G46" s="174"/>
      <c r="H46" s="174"/>
    </row>
    <row r="47" spans="1:8" ht="14.25" customHeight="1">
      <c r="A47" s="174"/>
      <c r="B47" s="174"/>
      <c r="C47" s="174"/>
      <c r="D47" s="174"/>
      <c r="E47" s="174"/>
      <c r="F47" s="174"/>
      <c r="G47" s="174"/>
      <c r="H47" s="174"/>
    </row>
    <row r="48" spans="1:8" ht="14.25" customHeight="1">
      <c r="A48" s="174"/>
      <c r="B48" s="174"/>
      <c r="C48" s="174"/>
      <c r="D48" s="174"/>
      <c r="E48" s="174"/>
      <c r="F48" s="174"/>
      <c r="G48" s="174"/>
      <c r="H48" s="174"/>
    </row>
    <row r="49" spans="1:8" ht="14.25" customHeight="1">
      <c r="A49" s="174"/>
      <c r="B49" s="174"/>
      <c r="C49" s="174"/>
      <c r="D49" s="174"/>
      <c r="E49" s="174"/>
      <c r="F49" s="174"/>
      <c r="G49" s="174"/>
      <c r="H49" s="174"/>
    </row>
    <row r="50" spans="1:8" ht="14.25" customHeight="1">
      <c r="A50" s="174"/>
      <c r="B50" s="174"/>
      <c r="C50" s="174"/>
      <c r="D50" s="174"/>
      <c r="E50" s="174"/>
      <c r="F50" s="174"/>
      <c r="G50" s="174"/>
      <c r="H50" s="174"/>
    </row>
    <row r="51" spans="1:8" ht="14.25" customHeight="1">
      <c r="A51" s="174"/>
      <c r="B51" s="174"/>
      <c r="C51" s="174"/>
      <c r="D51" s="174"/>
      <c r="E51" s="174"/>
      <c r="F51" s="174"/>
      <c r="G51" s="174"/>
      <c r="H51" s="174"/>
    </row>
    <row r="52" spans="1:8" ht="14.25" customHeight="1">
      <c r="A52" s="174"/>
      <c r="B52" s="174"/>
      <c r="C52" s="174"/>
      <c r="D52" s="174"/>
      <c r="E52" s="174"/>
      <c r="F52" s="174"/>
      <c r="G52" s="174"/>
      <c r="H52" s="174"/>
    </row>
    <row r="53" spans="1:8" ht="14.25" customHeight="1">
      <c r="A53" s="174"/>
      <c r="B53" s="174"/>
      <c r="C53" s="174"/>
      <c r="D53" s="174"/>
      <c r="E53" s="174"/>
      <c r="F53" s="174"/>
      <c r="G53" s="174"/>
      <c r="H53" s="174"/>
    </row>
    <row r="54" spans="1:8" ht="14.25" customHeight="1">
      <c r="A54" s="174"/>
      <c r="B54" s="174"/>
      <c r="C54" s="174"/>
      <c r="D54" s="174"/>
      <c r="E54" s="174"/>
      <c r="F54" s="174"/>
      <c r="G54" s="174"/>
      <c r="H54" s="174"/>
    </row>
    <row r="55" spans="1:8" ht="14.25" customHeight="1">
      <c r="A55" s="174"/>
      <c r="B55" s="174"/>
      <c r="C55" s="174"/>
      <c r="D55" s="174"/>
      <c r="E55" s="174"/>
      <c r="F55" s="174"/>
      <c r="G55" s="174"/>
      <c r="H55" s="174"/>
    </row>
    <row r="56" spans="1:8" ht="14.25" customHeight="1">
      <c r="A56" s="174"/>
      <c r="B56" s="174"/>
      <c r="C56" s="174"/>
      <c r="D56" s="174"/>
      <c r="E56" s="174"/>
      <c r="F56" s="174"/>
      <c r="G56" s="174"/>
      <c r="H56" s="174"/>
    </row>
    <row r="57" spans="1:8" ht="14.25" customHeight="1">
      <c r="A57" s="174"/>
      <c r="B57" s="174"/>
      <c r="C57" s="174"/>
      <c r="D57" s="174"/>
      <c r="E57" s="174"/>
      <c r="F57" s="174"/>
      <c r="G57" s="174"/>
      <c r="H57" s="174"/>
    </row>
    <row r="58" spans="1:8" ht="14.25" customHeight="1">
      <c r="A58" s="174"/>
      <c r="B58" s="174"/>
      <c r="C58" s="174"/>
      <c r="D58" s="174"/>
      <c r="E58" s="174"/>
      <c r="F58" s="174"/>
      <c r="G58" s="174"/>
      <c r="H58" s="174"/>
    </row>
    <row r="59" spans="1:8" ht="14.25" customHeight="1">
      <c r="A59" s="174"/>
      <c r="B59" s="174"/>
      <c r="C59" s="174"/>
      <c r="D59" s="174"/>
      <c r="E59" s="174"/>
      <c r="F59" s="174"/>
      <c r="G59" s="174"/>
      <c r="H59" s="174"/>
    </row>
    <row r="60" spans="1:8" ht="14.25" customHeight="1">
      <c r="A60" s="174"/>
      <c r="B60" s="174"/>
      <c r="C60" s="174"/>
      <c r="D60" s="174"/>
      <c r="E60" s="174"/>
      <c r="F60" s="174"/>
      <c r="G60" s="174"/>
      <c r="H60" s="174"/>
    </row>
    <row r="61" spans="1:8" ht="14.25" customHeight="1">
      <c r="A61" s="174"/>
      <c r="B61" s="174"/>
      <c r="C61" s="174"/>
      <c r="D61" s="174"/>
      <c r="E61" s="174"/>
      <c r="F61" s="174"/>
      <c r="G61" s="174"/>
      <c r="H61" s="174"/>
    </row>
    <row r="62" spans="1:8" ht="14.25" customHeight="1">
      <c r="A62" s="174"/>
      <c r="B62" s="174"/>
      <c r="C62" s="174"/>
      <c r="D62" s="174"/>
      <c r="E62" s="174"/>
      <c r="F62" s="174"/>
      <c r="G62" s="174"/>
      <c r="H62" s="174"/>
    </row>
    <row r="63" spans="1:8" ht="14.25" customHeight="1">
      <c r="A63" s="174"/>
      <c r="B63" s="174"/>
      <c r="C63" s="174"/>
      <c r="D63" s="174"/>
      <c r="E63" s="174"/>
      <c r="F63" s="174"/>
      <c r="G63" s="174"/>
      <c r="H63" s="174"/>
    </row>
    <row r="64" spans="1:8" ht="14.25" customHeight="1">
      <c r="A64" s="174"/>
      <c r="B64" s="174"/>
      <c r="C64" s="174"/>
      <c r="D64" s="174"/>
      <c r="E64" s="174"/>
      <c r="F64" s="174"/>
      <c r="G64" s="174"/>
      <c r="H64" s="174"/>
    </row>
    <row r="65" spans="1:8" ht="14.25" customHeight="1">
      <c r="A65" s="174"/>
      <c r="B65" s="174"/>
      <c r="C65" s="174"/>
      <c r="D65" s="174"/>
      <c r="E65" s="174"/>
      <c r="F65" s="174"/>
      <c r="G65" s="174"/>
      <c r="H65" s="174"/>
    </row>
    <row r="66" spans="1:8" ht="14.25" customHeight="1">
      <c r="A66" s="174"/>
      <c r="B66" s="174"/>
      <c r="C66" s="174"/>
      <c r="D66" s="174"/>
      <c r="E66" s="174"/>
      <c r="F66" s="174"/>
      <c r="G66" s="174"/>
      <c r="H66" s="174"/>
    </row>
    <row r="67" spans="1:8" ht="14.25" customHeight="1">
      <c r="A67" s="174"/>
      <c r="B67" s="174"/>
      <c r="C67" s="174"/>
      <c r="D67" s="174"/>
      <c r="E67" s="174"/>
      <c r="F67" s="174"/>
      <c r="G67" s="174"/>
      <c r="H67" s="174"/>
    </row>
    <row r="68" spans="1:8" ht="14.25" customHeight="1">
      <c r="A68" s="174"/>
      <c r="B68" s="174"/>
      <c r="C68" s="174"/>
      <c r="D68" s="174"/>
      <c r="E68" s="174"/>
      <c r="F68" s="174"/>
      <c r="G68" s="174"/>
      <c r="H68" s="174"/>
    </row>
    <row r="69" spans="1:8" ht="14.25" customHeight="1">
      <c r="A69" s="174"/>
      <c r="B69" s="174"/>
      <c r="C69" s="174"/>
      <c r="D69" s="174"/>
      <c r="E69" s="174"/>
      <c r="F69" s="174"/>
      <c r="G69" s="174"/>
      <c r="H69" s="174"/>
    </row>
    <row r="70" spans="1:8" ht="14.25" customHeight="1">
      <c r="A70" s="174"/>
      <c r="B70" s="174"/>
      <c r="C70" s="174"/>
      <c r="D70" s="174"/>
      <c r="E70" s="174"/>
      <c r="F70" s="174"/>
      <c r="G70" s="174"/>
      <c r="H70" s="174"/>
    </row>
    <row r="71" spans="1:8" ht="14.25" customHeight="1">
      <c r="A71" s="174"/>
      <c r="B71" s="174"/>
      <c r="C71" s="174"/>
      <c r="D71" s="174"/>
      <c r="E71" s="174"/>
      <c r="F71" s="174"/>
      <c r="G71" s="174"/>
      <c r="H71" s="174"/>
    </row>
    <row r="72" spans="1:8" ht="14.25" customHeight="1">
      <c r="A72" s="174"/>
      <c r="B72" s="174"/>
      <c r="C72" s="174"/>
      <c r="D72" s="174"/>
      <c r="E72" s="174"/>
      <c r="F72" s="174"/>
      <c r="G72" s="174"/>
      <c r="H72" s="174"/>
    </row>
    <row r="73" spans="1:8" ht="14.25" customHeight="1">
      <c r="A73" s="174"/>
      <c r="B73" s="174"/>
      <c r="C73" s="174"/>
      <c r="D73" s="174"/>
      <c r="E73" s="174"/>
      <c r="F73" s="174"/>
      <c r="G73" s="174"/>
      <c r="H73" s="174"/>
    </row>
    <row r="74" spans="1:8" ht="14.25" customHeight="1">
      <c r="A74" s="174"/>
      <c r="B74" s="174"/>
      <c r="C74" s="174"/>
      <c r="D74" s="174"/>
      <c r="E74" s="174"/>
      <c r="F74" s="174"/>
      <c r="G74" s="174"/>
      <c r="H74" s="174"/>
    </row>
    <row r="75" spans="1:8" ht="14.25" customHeight="1">
      <c r="A75" s="174"/>
      <c r="B75" s="174"/>
      <c r="C75" s="174"/>
      <c r="D75" s="174"/>
      <c r="E75" s="174"/>
      <c r="F75" s="174"/>
      <c r="G75" s="174"/>
      <c r="H75" s="174"/>
    </row>
    <row r="76" spans="1:8" ht="14.25" customHeight="1">
      <c r="A76" s="174"/>
      <c r="B76" s="174"/>
      <c r="C76" s="174"/>
      <c r="D76" s="174"/>
      <c r="E76" s="174"/>
      <c r="F76" s="174"/>
      <c r="G76" s="174"/>
      <c r="H76" s="174"/>
    </row>
    <row r="77" spans="1:8" ht="14.25" customHeight="1">
      <c r="A77" s="174"/>
      <c r="B77" s="174"/>
      <c r="C77" s="174"/>
      <c r="D77" s="174"/>
      <c r="E77" s="174"/>
      <c r="F77" s="174"/>
      <c r="G77" s="174"/>
      <c r="H77" s="174"/>
    </row>
    <row r="78" spans="1:8" ht="14.25" customHeight="1">
      <c r="A78" s="174"/>
      <c r="B78" s="174"/>
      <c r="C78" s="174"/>
      <c r="D78" s="174"/>
      <c r="E78" s="174"/>
      <c r="F78" s="174"/>
      <c r="G78" s="174"/>
      <c r="H78" s="174"/>
    </row>
    <row r="79" spans="1:8" ht="14.25" customHeight="1">
      <c r="A79" s="174"/>
      <c r="B79" s="174"/>
      <c r="C79" s="174"/>
      <c r="D79" s="174"/>
      <c r="E79" s="174"/>
      <c r="F79" s="174"/>
      <c r="G79" s="174"/>
      <c r="H79" s="174"/>
    </row>
    <row r="80" spans="1:8" ht="14.25" customHeight="1">
      <c r="A80" s="174"/>
      <c r="B80" s="174"/>
      <c r="C80" s="174"/>
      <c r="D80" s="174"/>
      <c r="E80" s="174"/>
      <c r="F80" s="174"/>
      <c r="G80" s="174"/>
      <c r="H80" s="174"/>
    </row>
    <row r="81" spans="1:8" ht="14.25" customHeight="1">
      <c r="A81" s="174"/>
      <c r="B81" s="174"/>
      <c r="C81" s="174"/>
      <c r="D81" s="174"/>
      <c r="E81" s="174"/>
      <c r="F81" s="174"/>
      <c r="G81" s="174"/>
      <c r="H81" s="174"/>
    </row>
    <row r="82" spans="1:8" ht="14.25" customHeight="1">
      <c r="A82" s="174"/>
      <c r="B82" s="174"/>
      <c r="C82" s="174"/>
      <c r="D82" s="174"/>
      <c r="E82" s="174"/>
      <c r="F82" s="174"/>
      <c r="G82" s="174"/>
      <c r="H82" s="174"/>
    </row>
    <row r="83" spans="1:8" ht="14.25" customHeight="1">
      <c r="A83" s="174"/>
      <c r="B83" s="174"/>
      <c r="C83" s="174"/>
      <c r="D83" s="174"/>
      <c r="E83" s="174"/>
      <c r="F83" s="174"/>
      <c r="G83" s="174"/>
      <c r="H83" s="174"/>
    </row>
    <row r="84" spans="1:8" ht="14.25" customHeight="1">
      <c r="A84" s="174"/>
      <c r="B84" s="174"/>
      <c r="C84" s="174"/>
      <c r="D84" s="174"/>
      <c r="E84" s="174"/>
      <c r="F84" s="174"/>
      <c r="G84" s="174"/>
      <c r="H84" s="174"/>
    </row>
    <row r="85" spans="1:8" ht="14.25" customHeight="1">
      <c r="A85" s="174"/>
      <c r="B85" s="174"/>
      <c r="C85" s="174"/>
      <c r="D85" s="174"/>
      <c r="E85" s="174"/>
      <c r="F85" s="174"/>
      <c r="G85" s="174"/>
      <c r="H85" s="174"/>
    </row>
    <row r="86" spans="1:8" ht="14.25" customHeight="1">
      <c r="A86" s="174"/>
      <c r="B86" s="174"/>
      <c r="C86" s="174"/>
      <c r="D86" s="174"/>
      <c r="E86" s="174"/>
      <c r="F86" s="174"/>
      <c r="G86" s="174"/>
      <c r="H86" s="174"/>
    </row>
    <row r="87" spans="1:8" ht="14.25" customHeight="1">
      <c r="A87" s="174"/>
      <c r="B87" s="174"/>
      <c r="C87" s="174"/>
      <c r="D87" s="174"/>
      <c r="E87" s="174"/>
      <c r="F87" s="174"/>
      <c r="G87" s="174"/>
      <c r="H87" s="174"/>
    </row>
    <row r="88" spans="1:8" ht="14.25" customHeight="1">
      <c r="A88" s="174"/>
      <c r="B88" s="174"/>
      <c r="C88" s="174"/>
      <c r="D88" s="174"/>
      <c r="E88" s="174"/>
      <c r="F88" s="174"/>
      <c r="G88" s="174"/>
      <c r="H88" s="174"/>
    </row>
    <row r="89" spans="1:8" ht="14.25" customHeight="1">
      <c r="A89" s="174"/>
      <c r="B89" s="174"/>
      <c r="C89" s="174"/>
      <c r="D89" s="174"/>
      <c r="E89" s="174"/>
      <c r="F89" s="174"/>
      <c r="G89" s="174"/>
      <c r="H89" s="174"/>
    </row>
    <row r="90" spans="1:8" ht="14.25" customHeight="1">
      <c r="A90" s="174"/>
      <c r="B90" s="174"/>
      <c r="C90" s="174"/>
      <c r="D90" s="174"/>
      <c r="E90" s="174"/>
      <c r="F90" s="174"/>
      <c r="G90" s="174"/>
      <c r="H90" s="174"/>
    </row>
    <row r="91" spans="1:8" ht="14.25" customHeight="1">
      <c r="A91" s="174"/>
      <c r="B91" s="174"/>
      <c r="C91" s="174"/>
      <c r="D91" s="174"/>
      <c r="E91" s="174"/>
      <c r="F91" s="174"/>
      <c r="G91" s="174"/>
      <c r="H91" s="174"/>
    </row>
    <row r="92" spans="1:8" ht="14.25" customHeight="1">
      <c r="A92" s="174"/>
      <c r="B92" s="174"/>
      <c r="C92" s="174"/>
      <c r="D92" s="174"/>
      <c r="E92" s="174"/>
      <c r="F92" s="174"/>
      <c r="G92" s="174"/>
      <c r="H92" s="174"/>
    </row>
    <row r="93" spans="1:8" ht="14.25" customHeight="1">
      <c r="A93" s="174"/>
      <c r="B93" s="174"/>
      <c r="C93" s="174"/>
      <c r="D93" s="174"/>
      <c r="E93" s="174"/>
      <c r="F93" s="174"/>
      <c r="G93" s="174"/>
      <c r="H93" s="174"/>
    </row>
    <row r="94" spans="1:8" ht="14.25" customHeight="1">
      <c r="A94" s="174"/>
      <c r="B94" s="174"/>
      <c r="C94" s="174"/>
      <c r="D94" s="174"/>
      <c r="E94" s="174"/>
      <c r="F94" s="174"/>
      <c r="G94" s="174"/>
      <c r="H94" s="174"/>
    </row>
    <row r="95" spans="1:8" ht="14.25" customHeight="1">
      <c r="A95" s="174"/>
      <c r="B95" s="174"/>
      <c r="C95" s="174"/>
      <c r="D95" s="174"/>
      <c r="E95" s="174"/>
      <c r="F95" s="174"/>
      <c r="G95" s="174"/>
      <c r="H95" s="174"/>
    </row>
    <row r="96" spans="1:8" ht="14.25" customHeight="1">
      <c r="A96" s="174"/>
      <c r="B96" s="174"/>
      <c r="C96" s="174"/>
      <c r="D96" s="174"/>
      <c r="E96" s="174"/>
      <c r="F96" s="174"/>
      <c r="G96" s="174"/>
      <c r="H96" s="174"/>
    </row>
    <row r="97" spans="1:8" ht="14.25" customHeight="1">
      <c r="A97" s="174"/>
      <c r="B97" s="174"/>
      <c r="C97" s="174"/>
      <c r="D97" s="174"/>
      <c r="E97" s="174"/>
      <c r="F97" s="174"/>
      <c r="G97" s="174"/>
      <c r="H97" s="174"/>
    </row>
    <row r="98" spans="1:8" ht="14.25" customHeight="1">
      <c r="A98" s="174"/>
      <c r="B98" s="174"/>
      <c r="C98" s="174"/>
      <c r="D98" s="174"/>
      <c r="E98" s="174"/>
      <c r="F98" s="174"/>
      <c r="G98" s="174"/>
      <c r="H98" s="174"/>
    </row>
    <row r="99" spans="1:8" ht="14.25" customHeight="1">
      <c r="A99" s="174"/>
      <c r="B99" s="174"/>
      <c r="C99" s="174"/>
      <c r="D99" s="174"/>
      <c r="E99" s="174"/>
      <c r="F99" s="174"/>
      <c r="G99" s="174"/>
      <c r="H99" s="174"/>
    </row>
    <row r="100" spans="1:8" ht="14.25" customHeight="1">
      <c r="A100" s="174"/>
      <c r="B100" s="174"/>
      <c r="C100" s="174"/>
      <c r="D100" s="174"/>
      <c r="E100" s="174"/>
      <c r="F100" s="174"/>
      <c r="G100" s="174"/>
      <c r="H100" s="174"/>
    </row>
    <row r="101" spans="1:8" ht="14.25" customHeight="1">
      <c r="A101" s="174"/>
      <c r="B101" s="174"/>
      <c r="C101" s="174"/>
      <c r="D101" s="174"/>
      <c r="E101" s="174"/>
      <c r="F101" s="174"/>
      <c r="G101" s="174"/>
      <c r="H101" s="174"/>
    </row>
    <row r="102" spans="1:8" ht="14.25" customHeight="1">
      <c r="A102" s="174"/>
      <c r="B102" s="174"/>
      <c r="C102" s="174"/>
      <c r="D102" s="174"/>
      <c r="E102" s="174"/>
      <c r="F102" s="174"/>
      <c r="G102" s="174"/>
      <c r="H102" s="174"/>
    </row>
    <row r="103" spans="1:8" ht="14.25" customHeight="1">
      <c r="A103" s="174"/>
      <c r="B103" s="174"/>
      <c r="C103" s="174"/>
      <c r="D103" s="174"/>
      <c r="E103" s="174"/>
      <c r="F103" s="174"/>
      <c r="G103" s="174"/>
      <c r="H103" s="174"/>
    </row>
    <row r="104" spans="1:8" ht="14.25" customHeight="1">
      <c r="A104" s="174"/>
      <c r="B104" s="174"/>
      <c r="C104" s="174"/>
      <c r="D104" s="174"/>
      <c r="E104" s="174"/>
      <c r="F104" s="174"/>
      <c r="G104" s="174"/>
      <c r="H104" s="174"/>
    </row>
    <row r="105" spans="1:8" ht="14.25" customHeight="1">
      <c r="A105" s="174"/>
      <c r="B105" s="174"/>
      <c r="C105" s="174"/>
      <c r="D105" s="174"/>
      <c r="E105" s="174"/>
      <c r="F105" s="174"/>
      <c r="G105" s="174"/>
      <c r="H105" s="174"/>
    </row>
    <row r="106" spans="1:8" ht="14.25" customHeight="1">
      <c r="A106" s="174"/>
      <c r="B106" s="174"/>
      <c r="C106" s="174"/>
      <c r="D106" s="174"/>
      <c r="E106" s="174"/>
      <c r="F106" s="174"/>
      <c r="G106" s="174"/>
      <c r="H106" s="174"/>
    </row>
    <row r="107" spans="1:8" ht="14.25" customHeight="1">
      <c r="A107" s="174"/>
      <c r="B107" s="174"/>
      <c r="C107" s="174"/>
      <c r="D107" s="174"/>
      <c r="E107" s="174"/>
      <c r="F107" s="174"/>
      <c r="G107" s="174"/>
      <c r="H107" s="174"/>
    </row>
    <row r="108" spans="1:8" ht="14.25" customHeight="1">
      <c r="A108" s="174"/>
      <c r="B108" s="174"/>
      <c r="C108" s="174"/>
      <c r="D108" s="174"/>
      <c r="E108" s="174"/>
      <c r="F108" s="174"/>
      <c r="G108" s="174"/>
      <c r="H108" s="174"/>
    </row>
    <row r="109" spans="1:8" ht="14.25" customHeight="1">
      <c r="A109" s="174"/>
      <c r="B109" s="174"/>
      <c r="C109" s="174"/>
      <c r="D109" s="174"/>
      <c r="E109" s="174"/>
      <c r="F109" s="174"/>
      <c r="G109" s="174"/>
      <c r="H109" s="174"/>
    </row>
    <row r="110" spans="1:8" ht="14.25" customHeight="1">
      <c r="A110" s="174"/>
      <c r="B110" s="174"/>
      <c r="C110" s="174"/>
      <c r="D110" s="174"/>
      <c r="E110" s="174"/>
      <c r="F110" s="174"/>
      <c r="G110" s="174"/>
      <c r="H110" s="174"/>
    </row>
    <row r="111" spans="1:8" ht="14.25" customHeight="1">
      <c r="A111" s="174"/>
      <c r="B111" s="174"/>
      <c r="C111" s="174"/>
      <c r="D111" s="174"/>
      <c r="E111" s="174"/>
      <c r="F111" s="174"/>
      <c r="G111" s="174"/>
      <c r="H111" s="174"/>
    </row>
    <row r="112" spans="1:8" ht="14.25" customHeight="1">
      <c r="A112" s="174"/>
      <c r="B112" s="174"/>
      <c r="C112" s="174"/>
      <c r="D112" s="174"/>
      <c r="E112" s="174"/>
      <c r="F112" s="174"/>
      <c r="G112" s="174"/>
      <c r="H112" s="174"/>
    </row>
    <row r="113" spans="1:8" ht="14.25" customHeight="1">
      <c r="A113" s="174"/>
      <c r="B113" s="174"/>
      <c r="C113" s="174"/>
      <c r="D113" s="174"/>
      <c r="E113" s="174"/>
      <c r="F113" s="174"/>
      <c r="G113" s="174"/>
      <c r="H113" s="174"/>
    </row>
    <row r="114" spans="1:8" ht="14.25" customHeight="1">
      <c r="A114" s="174"/>
      <c r="B114" s="174"/>
      <c r="C114" s="174"/>
      <c r="D114" s="174"/>
      <c r="E114" s="174"/>
      <c r="F114" s="174"/>
      <c r="G114" s="174"/>
      <c r="H114" s="174"/>
    </row>
    <row r="115" spans="1:8" ht="14.25" customHeight="1">
      <c r="A115" s="174"/>
      <c r="B115" s="174"/>
      <c r="C115" s="174"/>
      <c r="D115" s="174"/>
      <c r="E115" s="174"/>
      <c r="F115" s="174"/>
      <c r="G115" s="174"/>
      <c r="H115" s="174"/>
    </row>
    <row r="116" spans="1:8" ht="14.25" customHeight="1">
      <c r="A116" s="174"/>
      <c r="B116" s="174"/>
      <c r="C116" s="174"/>
      <c r="D116" s="174"/>
      <c r="E116" s="174"/>
      <c r="F116" s="174"/>
      <c r="G116" s="174"/>
      <c r="H116" s="174"/>
    </row>
    <row r="117" spans="1:8" ht="14.25" customHeight="1">
      <c r="A117" s="174"/>
      <c r="B117" s="174"/>
      <c r="C117" s="174"/>
      <c r="D117" s="174"/>
      <c r="E117" s="174"/>
      <c r="F117" s="174"/>
      <c r="G117" s="174"/>
      <c r="H117" s="174"/>
    </row>
    <row r="118" spans="1:8" ht="14.25" customHeight="1">
      <c r="A118" s="174"/>
      <c r="B118" s="174"/>
      <c r="C118" s="174"/>
      <c r="D118" s="174"/>
      <c r="E118" s="174"/>
      <c r="F118" s="174"/>
      <c r="G118" s="174"/>
      <c r="H118" s="174"/>
    </row>
    <row r="119" spans="1:8" ht="14.25" customHeight="1">
      <c r="A119" s="174"/>
      <c r="B119" s="174"/>
      <c r="C119" s="174"/>
      <c r="D119" s="174"/>
      <c r="E119" s="174"/>
      <c r="F119" s="174"/>
      <c r="G119" s="174"/>
      <c r="H119" s="174"/>
    </row>
    <row r="120" spans="1:8" ht="14.25" customHeight="1">
      <c r="A120" s="174"/>
      <c r="B120" s="174"/>
      <c r="C120" s="174"/>
      <c r="D120" s="174"/>
      <c r="E120" s="174"/>
      <c r="F120" s="174"/>
      <c r="G120" s="174"/>
      <c r="H120" s="174"/>
    </row>
    <row r="121" spans="1:8" ht="14.25" customHeight="1">
      <c r="A121" s="174"/>
      <c r="B121" s="174"/>
      <c r="C121" s="174"/>
      <c r="D121" s="174"/>
      <c r="E121" s="174"/>
      <c r="F121" s="174"/>
      <c r="G121" s="174"/>
      <c r="H121" s="174"/>
    </row>
    <row r="122" spans="1:8" ht="14.25" customHeight="1">
      <c r="A122" s="174"/>
      <c r="B122" s="174"/>
      <c r="C122" s="174"/>
      <c r="D122" s="174"/>
      <c r="E122" s="174"/>
      <c r="F122" s="174"/>
      <c r="G122" s="174"/>
      <c r="H122" s="174"/>
    </row>
    <row r="123" spans="1:8" ht="14.25" customHeight="1">
      <c r="A123" s="174"/>
      <c r="B123" s="174"/>
      <c r="C123" s="174"/>
      <c r="D123" s="174"/>
      <c r="E123" s="174"/>
      <c r="F123" s="174"/>
      <c r="G123" s="174"/>
      <c r="H123" s="174"/>
    </row>
    <row r="124" spans="1:8" ht="14.25" customHeight="1">
      <c r="A124" s="174"/>
      <c r="B124" s="174"/>
      <c r="C124" s="174"/>
      <c r="D124" s="174"/>
      <c r="E124" s="174"/>
      <c r="F124" s="174"/>
      <c r="G124" s="174"/>
      <c r="H124" s="174"/>
    </row>
    <row r="125" spans="1:8" ht="14.25" customHeight="1">
      <c r="A125" s="174"/>
      <c r="B125" s="174"/>
      <c r="C125" s="174"/>
      <c r="D125" s="174"/>
      <c r="E125" s="174"/>
      <c r="F125" s="174"/>
      <c r="G125" s="174"/>
      <c r="H125" s="174"/>
    </row>
    <row r="126" spans="1:8" ht="14.25" customHeight="1">
      <c r="A126" s="174"/>
      <c r="B126" s="174"/>
      <c r="C126" s="174"/>
      <c r="D126" s="174"/>
      <c r="E126" s="174"/>
      <c r="F126" s="174"/>
      <c r="G126" s="174"/>
      <c r="H126" s="174"/>
    </row>
    <row r="127" spans="1:8" ht="14.25" customHeight="1">
      <c r="A127" s="174"/>
      <c r="B127" s="174"/>
      <c r="C127" s="174"/>
      <c r="D127" s="174"/>
      <c r="E127" s="174"/>
      <c r="F127" s="174"/>
      <c r="G127" s="174"/>
      <c r="H127" s="174"/>
    </row>
    <row r="128" spans="1:8" ht="14.25" customHeight="1">
      <c r="A128" s="174"/>
      <c r="B128" s="174"/>
      <c r="C128" s="174"/>
      <c r="D128" s="174"/>
      <c r="E128" s="174"/>
      <c r="F128" s="174"/>
      <c r="G128" s="174"/>
      <c r="H128" s="174"/>
    </row>
    <row r="129" spans="1:8" ht="14.25" customHeight="1">
      <c r="A129" s="174"/>
      <c r="B129" s="174"/>
      <c r="C129" s="174"/>
      <c r="D129" s="174"/>
      <c r="E129" s="174"/>
      <c r="F129" s="174"/>
      <c r="G129" s="174"/>
      <c r="H129" s="174"/>
    </row>
    <row r="130" spans="1:8" ht="14.25" customHeight="1">
      <c r="A130" s="174"/>
      <c r="B130" s="174"/>
      <c r="C130" s="174"/>
      <c r="D130" s="174"/>
      <c r="E130" s="174"/>
      <c r="F130" s="174"/>
      <c r="G130" s="174"/>
      <c r="H130" s="174"/>
    </row>
    <row r="131" spans="1:8" ht="14.25" customHeight="1">
      <c r="A131" s="174"/>
      <c r="B131" s="174"/>
      <c r="C131" s="174"/>
      <c r="D131" s="174"/>
      <c r="E131" s="174"/>
      <c r="F131" s="174"/>
      <c r="G131" s="174"/>
      <c r="H131" s="174"/>
    </row>
    <row r="132" spans="1:8" ht="14.25" customHeight="1">
      <c r="A132" s="174"/>
      <c r="B132" s="174"/>
      <c r="C132" s="174"/>
      <c r="D132" s="174"/>
      <c r="E132" s="174"/>
      <c r="F132" s="174"/>
      <c r="G132" s="174"/>
      <c r="H132" s="174"/>
    </row>
    <row r="133" spans="1:8" ht="14.25" customHeight="1">
      <c r="A133" s="174"/>
      <c r="B133" s="174"/>
      <c r="C133" s="174"/>
      <c r="D133" s="174"/>
      <c r="E133" s="174"/>
      <c r="F133" s="174"/>
      <c r="G133" s="174"/>
      <c r="H133" s="174"/>
    </row>
    <row r="134" spans="1:8" ht="14.25" customHeight="1">
      <c r="A134" s="174"/>
      <c r="B134" s="174"/>
      <c r="C134" s="174"/>
      <c r="D134" s="174"/>
      <c r="E134" s="174"/>
      <c r="F134" s="174"/>
      <c r="G134" s="174"/>
      <c r="H134" s="174"/>
    </row>
    <row r="135" spans="1:8" ht="14.25" customHeight="1">
      <c r="A135" s="174"/>
      <c r="B135" s="174"/>
      <c r="C135" s="174"/>
      <c r="D135" s="174"/>
      <c r="E135" s="174"/>
      <c r="F135" s="174"/>
      <c r="G135" s="174"/>
      <c r="H135" s="174"/>
    </row>
    <row r="136" spans="1:8" ht="14.25" customHeight="1">
      <c r="A136" s="174"/>
      <c r="B136" s="174"/>
      <c r="C136" s="174"/>
      <c r="D136" s="174"/>
      <c r="E136" s="174"/>
      <c r="F136" s="174"/>
      <c r="G136" s="174"/>
      <c r="H136" s="174"/>
    </row>
    <row r="137" spans="1:8" ht="14.25" customHeight="1">
      <c r="A137" s="174"/>
      <c r="B137" s="174"/>
      <c r="C137" s="174"/>
      <c r="D137" s="174"/>
      <c r="E137" s="174"/>
      <c r="F137" s="174"/>
      <c r="G137" s="174"/>
      <c r="H137" s="174"/>
    </row>
    <row r="138" spans="1:8" ht="14.25" customHeight="1">
      <c r="A138" s="174"/>
      <c r="B138" s="174"/>
      <c r="C138" s="174"/>
      <c r="D138" s="174"/>
      <c r="E138" s="174"/>
      <c r="F138" s="174"/>
      <c r="G138" s="174"/>
      <c r="H138" s="174"/>
    </row>
    <row r="139" spans="1:8" ht="14.25" customHeight="1">
      <c r="A139" s="174"/>
      <c r="B139" s="174"/>
      <c r="C139" s="174"/>
      <c r="D139" s="174"/>
      <c r="E139" s="174"/>
      <c r="F139" s="174"/>
      <c r="G139" s="174"/>
      <c r="H139" s="174"/>
    </row>
    <row r="140" spans="1:8" ht="14.25" customHeight="1">
      <c r="A140" s="174"/>
      <c r="B140" s="174"/>
      <c r="C140" s="174"/>
      <c r="D140" s="174"/>
      <c r="E140" s="174"/>
      <c r="F140" s="174"/>
      <c r="G140" s="174"/>
      <c r="H140" s="174"/>
    </row>
    <row r="141" spans="1:8" ht="14.25" customHeight="1">
      <c r="A141" s="174"/>
      <c r="B141" s="174"/>
      <c r="C141" s="174"/>
      <c r="D141" s="174"/>
      <c r="E141" s="174"/>
      <c r="F141" s="174"/>
      <c r="G141" s="174"/>
      <c r="H141" s="174"/>
    </row>
    <row r="142" spans="1:8" ht="14.25" customHeight="1">
      <c r="A142" s="174"/>
      <c r="B142" s="174"/>
      <c r="C142" s="174"/>
      <c r="D142" s="174"/>
      <c r="E142" s="174"/>
      <c r="F142" s="174"/>
      <c r="G142" s="174"/>
      <c r="H142" s="174"/>
    </row>
    <row r="143" spans="1:8" ht="14.25" customHeight="1">
      <c r="A143" s="174"/>
      <c r="B143" s="174"/>
      <c r="C143" s="174"/>
      <c r="D143" s="174"/>
      <c r="E143" s="174"/>
      <c r="F143" s="174"/>
      <c r="G143" s="174"/>
      <c r="H143" s="174"/>
    </row>
    <row r="144" spans="1:8" ht="14.25" customHeight="1">
      <c r="A144" s="174"/>
      <c r="B144" s="174"/>
      <c r="C144" s="174"/>
      <c r="D144" s="174"/>
      <c r="E144" s="174"/>
      <c r="F144" s="174"/>
      <c r="G144" s="174"/>
      <c r="H144" s="174"/>
    </row>
    <row r="145" spans="1:8" ht="14.25" customHeight="1">
      <c r="A145" s="174"/>
      <c r="B145" s="174"/>
      <c r="C145" s="174"/>
      <c r="D145" s="174"/>
      <c r="E145" s="174"/>
      <c r="F145" s="174"/>
      <c r="G145" s="174"/>
      <c r="H145" s="174"/>
    </row>
    <row r="146" spans="1:8" ht="14.25" customHeight="1">
      <c r="A146" s="174"/>
      <c r="B146" s="174"/>
      <c r="C146" s="174"/>
      <c r="D146" s="174"/>
      <c r="E146" s="174"/>
      <c r="F146" s="174"/>
      <c r="G146" s="174"/>
      <c r="H146" s="174"/>
    </row>
    <row r="147" spans="1:8" ht="14.25" customHeight="1">
      <c r="A147" s="174"/>
      <c r="B147" s="174"/>
      <c r="C147" s="174"/>
      <c r="D147" s="174"/>
      <c r="E147" s="174"/>
      <c r="F147" s="174"/>
      <c r="G147" s="174"/>
      <c r="H147" s="174"/>
    </row>
    <row r="148" spans="1:8" ht="14.25" customHeight="1">
      <c r="A148" s="174"/>
      <c r="B148" s="174"/>
      <c r="C148" s="174"/>
      <c r="D148" s="174"/>
      <c r="E148" s="174"/>
      <c r="F148" s="174"/>
      <c r="G148" s="174"/>
      <c r="H148" s="174"/>
    </row>
    <row r="149" spans="1:8" ht="14.25" customHeight="1">
      <c r="A149" s="174"/>
      <c r="B149" s="174"/>
      <c r="C149" s="174"/>
      <c r="D149" s="174"/>
      <c r="E149" s="174"/>
      <c r="F149" s="174"/>
      <c r="G149" s="174"/>
      <c r="H149" s="174"/>
    </row>
    <row r="150" spans="1:8" ht="14.25" customHeight="1">
      <c r="A150" s="174"/>
      <c r="B150" s="174"/>
      <c r="C150" s="174"/>
      <c r="D150" s="174"/>
      <c r="E150" s="174"/>
      <c r="F150" s="174"/>
      <c r="G150" s="174"/>
      <c r="H150" s="174"/>
    </row>
    <row r="151" spans="1:8" ht="14.25" customHeight="1">
      <c r="A151" s="174"/>
      <c r="B151" s="174"/>
      <c r="C151" s="174"/>
      <c r="D151" s="174"/>
      <c r="E151" s="174"/>
      <c r="F151" s="174"/>
      <c r="G151" s="174"/>
      <c r="H151" s="174"/>
    </row>
    <row r="152" spans="1:8" ht="14.25" customHeight="1">
      <c r="A152" s="174"/>
      <c r="B152" s="174"/>
      <c r="C152" s="174"/>
      <c r="D152" s="174"/>
      <c r="E152" s="174"/>
      <c r="F152" s="174"/>
      <c r="G152" s="174"/>
      <c r="H152" s="174"/>
    </row>
    <row r="153" spans="1:8" ht="14.25" customHeight="1">
      <c r="A153" s="174"/>
      <c r="B153" s="174"/>
      <c r="C153" s="174"/>
      <c r="D153" s="174"/>
      <c r="E153" s="174"/>
      <c r="F153" s="174"/>
      <c r="G153" s="174"/>
      <c r="H153" s="174"/>
    </row>
    <row r="154" spans="1:8" ht="14.25" customHeight="1">
      <c r="A154" s="174"/>
      <c r="B154" s="174"/>
      <c r="C154" s="174"/>
      <c r="D154" s="174"/>
      <c r="E154" s="174"/>
      <c r="F154" s="174"/>
      <c r="G154" s="174"/>
      <c r="H154" s="174"/>
    </row>
    <row r="155" spans="1:8" ht="14.25" customHeight="1">
      <c r="A155" s="174"/>
      <c r="B155" s="174"/>
      <c r="C155" s="174"/>
      <c r="D155" s="174"/>
      <c r="E155" s="174"/>
      <c r="F155" s="174"/>
      <c r="G155" s="174"/>
      <c r="H155" s="174"/>
    </row>
    <row r="156" spans="1:8" ht="14.25" customHeight="1">
      <c r="A156" s="174"/>
      <c r="B156" s="174"/>
      <c r="C156" s="174"/>
      <c r="D156" s="174"/>
      <c r="E156" s="174"/>
      <c r="F156" s="174"/>
      <c r="G156" s="174"/>
      <c r="H156" s="174"/>
    </row>
    <row r="157" spans="1:8" ht="14.25" customHeight="1">
      <c r="A157" s="174"/>
      <c r="B157" s="174"/>
      <c r="C157" s="174"/>
      <c r="D157" s="174"/>
      <c r="E157" s="174"/>
      <c r="F157" s="174"/>
      <c r="G157" s="174"/>
      <c r="H157" s="174"/>
    </row>
    <row r="158" spans="1:8" ht="14.25" customHeight="1">
      <c r="A158" s="174"/>
      <c r="B158" s="174"/>
      <c r="C158" s="174"/>
      <c r="D158" s="174"/>
      <c r="E158" s="174"/>
      <c r="F158" s="174"/>
      <c r="G158" s="174"/>
      <c r="H158" s="174"/>
    </row>
    <row r="159" spans="1:8" ht="14.25" customHeight="1">
      <c r="A159" s="174"/>
      <c r="B159" s="174"/>
      <c r="C159" s="174"/>
      <c r="D159" s="174"/>
      <c r="E159" s="174"/>
      <c r="F159" s="174"/>
      <c r="G159" s="174"/>
      <c r="H159" s="174"/>
    </row>
    <row r="160" spans="1:8" ht="14.25" customHeight="1">
      <c r="A160" s="174"/>
      <c r="B160" s="174"/>
      <c r="C160" s="174"/>
      <c r="D160" s="174"/>
      <c r="E160" s="174"/>
      <c r="F160" s="174"/>
      <c r="G160" s="174"/>
      <c r="H160" s="174"/>
    </row>
    <row r="161" spans="1:8" ht="14.25" customHeight="1">
      <c r="A161" s="174"/>
      <c r="B161" s="174"/>
      <c r="C161" s="174"/>
      <c r="D161" s="174"/>
      <c r="E161" s="174"/>
      <c r="F161" s="174"/>
      <c r="G161" s="174"/>
      <c r="H161" s="174"/>
    </row>
    <row r="162" spans="1:8" ht="14.25" customHeight="1">
      <c r="A162" s="174"/>
      <c r="B162" s="174"/>
      <c r="C162" s="174"/>
      <c r="D162" s="174"/>
      <c r="E162" s="174"/>
      <c r="F162" s="174"/>
      <c r="G162" s="174"/>
      <c r="H162" s="174"/>
    </row>
    <row r="163" spans="1:8" ht="14.25" customHeight="1">
      <c r="A163" s="174"/>
      <c r="B163" s="174"/>
      <c r="C163" s="174"/>
      <c r="D163" s="174"/>
      <c r="E163" s="174"/>
      <c r="F163" s="174"/>
      <c r="G163" s="174"/>
      <c r="H163" s="174"/>
    </row>
    <row r="164" spans="1:8" ht="14.25" customHeight="1">
      <c r="A164" s="174"/>
      <c r="B164" s="174"/>
      <c r="C164" s="174"/>
      <c r="D164" s="174"/>
      <c r="E164" s="174"/>
      <c r="F164" s="174"/>
      <c r="G164" s="174"/>
      <c r="H164" s="174"/>
    </row>
    <row r="165" spans="1:8" ht="14.25" customHeight="1">
      <c r="A165" s="174"/>
      <c r="B165" s="174"/>
      <c r="C165" s="174"/>
      <c r="D165" s="174"/>
      <c r="E165" s="174"/>
      <c r="F165" s="174"/>
      <c r="G165" s="174"/>
      <c r="H165" s="174"/>
    </row>
    <row r="166" spans="1:8" ht="14.25" customHeight="1">
      <c r="A166" s="174"/>
      <c r="B166" s="174"/>
      <c r="C166" s="174"/>
      <c r="D166" s="174"/>
      <c r="E166" s="174"/>
      <c r="F166" s="174"/>
      <c r="G166" s="174"/>
      <c r="H166" s="174"/>
    </row>
    <row r="167" spans="1:8" ht="14.25" customHeight="1">
      <c r="A167" s="174"/>
      <c r="B167" s="174"/>
      <c r="C167" s="174"/>
      <c r="D167" s="174"/>
      <c r="E167" s="174"/>
      <c r="F167" s="174"/>
      <c r="G167" s="174"/>
      <c r="H167" s="174"/>
    </row>
    <row r="168" spans="1:8" ht="14.25" customHeight="1">
      <c r="A168" s="174"/>
      <c r="B168" s="174"/>
      <c r="C168" s="174"/>
      <c r="D168" s="174"/>
      <c r="E168" s="174"/>
      <c r="F168" s="174"/>
      <c r="G168" s="174"/>
      <c r="H168" s="174"/>
    </row>
    <row r="169" spans="1:8" ht="14.25" customHeight="1">
      <c r="A169" s="174"/>
      <c r="B169" s="174"/>
      <c r="C169" s="174"/>
      <c r="D169" s="174"/>
      <c r="E169" s="174"/>
      <c r="F169" s="174"/>
      <c r="G169" s="174"/>
      <c r="H169" s="174"/>
    </row>
    <row r="170" spans="1:8" ht="14.25" customHeight="1">
      <c r="A170" s="174"/>
      <c r="B170" s="174"/>
      <c r="C170" s="174"/>
      <c r="D170" s="174"/>
      <c r="E170" s="174"/>
      <c r="F170" s="174"/>
      <c r="G170" s="174"/>
      <c r="H170" s="174"/>
    </row>
    <row r="171" spans="1:8" ht="14.25" customHeight="1">
      <c r="A171" s="174"/>
      <c r="B171" s="174"/>
      <c r="C171" s="174"/>
      <c r="D171" s="174"/>
      <c r="E171" s="174"/>
      <c r="F171" s="174"/>
      <c r="G171" s="174"/>
      <c r="H171" s="174"/>
    </row>
    <row r="172" spans="1:8" ht="14.25" customHeight="1">
      <c r="A172" s="174"/>
      <c r="B172" s="174"/>
      <c r="C172" s="174"/>
      <c r="D172" s="174"/>
      <c r="E172" s="174"/>
      <c r="F172" s="174"/>
      <c r="G172" s="174"/>
      <c r="H172" s="174"/>
    </row>
    <row r="173" spans="1:8" ht="14.25" customHeight="1">
      <c r="A173" s="174"/>
      <c r="B173" s="174"/>
      <c r="C173" s="174"/>
      <c r="D173" s="174"/>
      <c r="E173" s="174"/>
      <c r="F173" s="174"/>
      <c r="G173" s="174"/>
      <c r="H173" s="174"/>
    </row>
    <row r="174" spans="1:8" ht="14.25" customHeight="1">
      <c r="A174" s="174"/>
      <c r="B174" s="174"/>
      <c r="C174" s="174"/>
      <c r="D174" s="174"/>
      <c r="E174" s="174"/>
      <c r="F174" s="174"/>
      <c r="G174" s="174"/>
      <c r="H174" s="174"/>
    </row>
    <row r="175" spans="1:8" ht="14.25" customHeight="1">
      <c r="A175" s="174"/>
      <c r="B175" s="174"/>
      <c r="C175" s="174"/>
      <c r="D175" s="174"/>
      <c r="E175" s="174"/>
      <c r="F175" s="174"/>
      <c r="G175" s="174"/>
      <c r="H175" s="174"/>
    </row>
    <row r="176" spans="1:8" ht="14.25" customHeight="1">
      <c r="A176" s="174"/>
      <c r="B176" s="174"/>
      <c r="C176" s="174"/>
      <c r="D176" s="174"/>
      <c r="E176" s="174"/>
      <c r="F176" s="174"/>
      <c r="G176" s="174"/>
      <c r="H176" s="174"/>
    </row>
    <row r="177" spans="1:8" ht="14.25" customHeight="1">
      <c r="A177" s="174"/>
      <c r="B177" s="174"/>
      <c r="C177" s="174"/>
      <c r="D177" s="174"/>
      <c r="E177" s="174"/>
      <c r="F177" s="174"/>
      <c r="G177" s="174"/>
      <c r="H177" s="174"/>
    </row>
    <row r="178" spans="1:8" ht="14.25" customHeight="1">
      <c r="A178" s="174"/>
      <c r="B178" s="174"/>
      <c r="C178" s="174"/>
      <c r="D178" s="174"/>
      <c r="E178" s="174"/>
      <c r="F178" s="174"/>
      <c r="G178" s="174"/>
      <c r="H178" s="174"/>
    </row>
    <row r="179" spans="1:8" ht="14.25" customHeight="1">
      <c r="A179" s="174"/>
      <c r="B179" s="174"/>
      <c r="C179" s="174"/>
      <c r="D179" s="174"/>
      <c r="E179" s="174"/>
      <c r="F179" s="174"/>
      <c r="G179" s="174"/>
      <c r="H179" s="174"/>
    </row>
    <row r="180" spans="1:8" ht="14.25" customHeight="1">
      <c r="A180" s="174"/>
      <c r="B180" s="174"/>
      <c r="C180" s="174"/>
      <c r="D180" s="174"/>
      <c r="E180" s="174"/>
      <c r="F180" s="174"/>
      <c r="G180" s="174"/>
      <c r="H180" s="174"/>
    </row>
    <row r="181" spans="1:8" ht="14.25" customHeight="1">
      <c r="A181" s="174"/>
      <c r="B181" s="174"/>
      <c r="C181" s="174"/>
      <c r="D181" s="174"/>
      <c r="E181" s="174"/>
      <c r="F181" s="174"/>
      <c r="G181" s="174"/>
      <c r="H181" s="174"/>
    </row>
    <row r="182" spans="1:8" ht="14.25" customHeight="1">
      <c r="A182" s="174"/>
      <c r="B182" s="174"/>
      <c r="C182" s="174"/>
      <c r="D182" s="174"/>
      <c r="E182" s="174"/>
      <c r="F182" s="174"/>
      <c r="G182" s="174"/>
      <c r="H182" s="174"/>
    </row>
    <row r="183" spans="1:8" ht="14.25" customHeight="1">
      <c r="A183" s="174"/>
      <c r="B183" s="174"/>
      <c r="C183" s="174"/>
      <c r="D183" s="174"/>
      <c r="E183" s="174"/>
      <c r="F183" s="174"/>
      <c r="G183" s="174"/>
      <c r="H183" s="174"/>
    </row>
    <row r="184" spans="1:8" ht="14.25" customHeight="1">
      <c r="A184" s="174"/>
      <c r="B184" s="174"/>
      <c r="C184" s="174"/>
      <c r="D184" s="174"/>
      <c r="E184" s="174"/>
      <c r="F184" s="174"/>
      <c r="G184" s="174"/>
      <c r="H184" s="174"/>
    </row>
    <row r="185" spans="1:8" ht="14.25" customHeight="1">
      <c r="A185" s="174"/>
      <c r="B185" s="174"/>
      <c r="C185" s="174"/>
      <c r="D185" s="174"/>
      <c r="E185" s="174"/>
      <c r="F185" s="174"/>
      <c r="G185" s="174"/>
      <c r="H185" s="174"/>
    </row>
    <row r="186" spans="1:8" ht="14.25" customHeight="1">
      <c r="A186" s="174"/>
      <c r="B186" s="174"/>
      <c r="C186" s="174"/>
      <c r="D186" s="174"/>
      <c r="E186" s="174"/>
      <c r="F186" s="174"/>
      <c r="G186" s="174"/>
      <c r="H186" s="174"/>
    </row>
    <row r="187" spans="1:8" ht="14.25" customHeight="1">
      <c r="A187" s="174"/>
      <c r="B187" s="174"/>
      <c r="C187" s="174"/>
      <c r="D187" s="174"/>
      <c r="E187" s="174"/>
      <c r="F187" s="174"/>
      <c r="G187" s="174"/>
      <c r="H187" s="174"/>
    </row>
    <row r="188" spans="1:8" ht="14.25" customHeight="1">
      <c r="A188" s="174"/>
      <c r="B188" s="174"/>
      <c r="C188" s="174"/>
      <c r="D188" s="174"/>
      <c r="E188" s="174"/>
      <c r="F188" s="174"/>
      <c r="G188" s="174"/>
      <c r="H188" s="174"/>
    </row>
    <row r="189" spans="1:8" ht="14.25" customHeight="1">
      <c r="A189" s="174"/>
      <c r="B189" s="174"/>
      <c r="C189" s="174"/>
      <c r="D189" s="174"/>
      <c r="E189" s="174"/>
      <c r="F189" s="174"/>
      <c r="G189" s="174"/>
      <c r="H189" s="174"/>
    </row>
    <row r="190" spans="1:8" ht="14.25" customHeight="1">
      <c r="A190" s="174"/>
      <c r="B190" s="174"/>
      <c r="C190" s="174"/>
      <c r="D190" s="174"/>
      <c r="E190" s="174"/>
      <c r="F190" s="174"/>
      <c r="G190" s="174"/>
      <c r="H190" s="174"/>
    </row>
    <row r="191" spans="1:8" ht="14.25" customHeight="1">
      <c r="A191" s="174"/>
      <c r="B191" s="174"/>
      <c r="C191" s="174"/>
      <c r="D191" s="174"/>
      <c r="E191" s="174"/>
      <c r="F191" s="174"/>
      <c r="G191" s="174"/>
      <c r="H191" s="174"/>
    </row>
    <row r="192" spans="1:8" ht="14.25" customHeight="1">
      <c r="A192" s="174"/>
      <c r="B192" s="174"/>
      <c r="C192" s="174"/>
      <c r="D192" s="174"/>
      <c r="E192" s="174"/>
      <c r="F192" s="174"/>
      <c r="G192" s="174"/>
      <c r="H192" s="174"/>
    </row>
    <row r="193" spans="1:8" ht="14.25" customHeight="1">
      <c r="A193" s="174"/>
      <c r="B193" s="174"/>
      <c r="C193" s="174"/>
      <c r="D193" s="174"/>
      <c r="E193" s="174"/>
      <c r="F193" s="174"/>
      <c r="G193" s="174"/>
      <c r="H193" s="174"/>
    </row>
    <row r="194" spans="1:8" ht="14.25" customHeight="1">
      <c r="A194" s="174"/>
      <c r="B194" s="174"/>
      <c r="C194" s="174"/>
      <c r="D194" s="174"/>
      <c r="E194" s="174"/>
      <c r="F194" s="174"/>
      <c r="G194" s="174"/>
      <c r="H194" s="174"/>
    </row>
    <row r="195" spans="1:8" ht="14.25" customHeight="1">
      <c r="A195" s="174"/>
      <c r="B195" s="174"/>
      <c r="C195" s="174"/>
      <c r="D195" s="174"/>
      <c r="E195" s="174"/>
      <c r="F195" s="174"/>
      <c r="G195" s="174"/>
      <c r="H195" s="174"/>
    </row>
    <row r="196" spans="1:8" ht="14.25" customHeight="1">
      <c r="A196" s="174"/>
      <c r="B196" s="174"/>
      <c r="C196" s="174"/>
      <c r="D196" s="174"/>
      <c r="E196" s="174"/>
      <c r="F196" s="174"/>
      <c r="G196" s="174"/>
      <c r="H196" s="174"/>
    </row>
    <row r="197" spans="1:8" ht="14.25" customHeight="1">
      <c r="A197" s="174"/>
      <c r="B197" s="174"/>
      <c r="C197" s="174"/>
      <c r="D197" s="174"/>
      <c r="E197" s="174"/>
      <c r="F197" s="174"/>
      <c r="G197" s="174"/>
      <c r="H197" s="174"/>
    </row>
    <row r="198" spans="1:8" ht="14.25" customHeight="1">
      <c r="A198" s="174"/>
      <c r="B198" s="174"/>
      <c r="C198" s="174"/>
      <c r="D198" s="174"/>
      <c r="E198" s="174"/>
      <c r="F198" s="174"/>
      <c r="G198" s="174"/>
      <c r="H198" s="174"/>
    </row>
    <row r="199" spans="1:8" ht="14.25" customHeight="1">
      <c r="A199" s="174"/>
      <c r="B199" s="174"/>
      <c r="C199" s="174"/>
      <c r="D199" s="174"/>
      <c r="E199" s="174"/>
      <c r="F199" s="174"/>
      <c r="G199" s="174"/>
      <c r="H199" s="174"/>
    </row>
    <row r="200" spans="1:8" ht="14.25" customHeight="1">
      <c r="A200" s="174"/>
      <c r="B200" s="174"/>
      <c r="C200" s="174"/>
      <c r="D200" s="174"/>
      <c r="E200" s="174"/>
      <c r="F200" s="174"/>
      <c r="G200" s="174"/>
      <c r="H200" s="174"/>
    </row>
    <row r="201" spans="1:8" ht="14.25" customHeight="1">
      <c r="A201" s="174"/>
      <c r="B201" s="174"/>
      <c r="C201" s="174"/>
      <c r="D201" s="174"/>
      <c r="E201" s="174"/>
      <c r="F201" s="174"/>
      <c r="G201" s="174"/>
      <c r="H201" s="174"/>
    </row>
    <row r="202" spans="1:8" ht="14.25" customHeight="1">
      <c r="A202" s="174"/>
      <c r="B202" s="174"/>
      <c r="C202" s="174"/>
      <c r="D202" s="174"/>
      <c r="E202" s="174"/>
      <c r="F202" s="174"/>
      <c r="G202" s="174"/>
      <c r="H202" s="174"/>
    </row>
    <row r="203" spans="1:8" ht="14.25" customHeight="1">
      <c r="A203" s="174"/>
      <c r="B203" s="174"/>
      <c r="C203" s="174"/>
      <c r="D203" s="174"/>
      <c r="E203" s="174"/>
      <c r="F203" s="174"/>
      <c r="G203" s="174"/>
      <c r="H203" s="174"/>
    </row>
    <row r="204" spans="1:8" ht="14.25" customHeight="1">
      <c r="A204" s="174"/>
      <c r="B204" s="174"/>
      <c r="C204" s="174"/>
      <c r="D204" s="174"/>
      <c r="E204" s="174"/>
      <c r="F204" s="174"/>
      <c r="G204" s="174"/>
      <c r="H204" s="174"/>
    </row>
    <row r="205" spans="1:8" ht="14.25" customHeight="1">
      <c r="A205" s="174"/>
      <c r="B205" s="174"/>
      <c r="C205" s="174"/>
      <c r="D205" s="174"/>
      <c r="E205" s="174"/>
      <c r="F205" s="174"/>
      <c r="G205" s="174"/>
      <c r="H205" s="174"/>
    </row>
    <row r="206" spans="1:8" ht="14.25" customHeight="1">
      <c r="A206" s="174"/>
      <c r="B206" s="174"/>
      <c r="C206" s="174"/>
      <c r="D206" s="174"/>
      <c r="E206" s="174"/>
      <c r="F206" s="174"/>
      <c r="G206" s="174"/>
      <c r="H206" s="174"/>
    </row>
    <row r="207" spans="1:8" ht="14.25" customHeight="1">
      <c r="A207" s="174"/>
      <c r="B207" s="174"/>
      <c r="C207" s="174"/>
      <c r="D207" s="174"/>
      <c r="E207" s="174"/>
      <c r="F207" s="174"/>
      <c r="G207" s="174"/>
      <c r="H207" s="174"/>
    </row>
    <row r="208" spans="1:8" ht="14.25" customHeight="1">
      <c r="A208" s="174"/>
      <c r="B208" s="174"/>
      <c r="C208" s="174"/>
      <c r="D208" s="174"/>
      <c r="E208" s="174"/>
      <c r="F208" s="174"/>
      <c r="G208" s="174"/>
      <c r="H208" s="174"/>
    </row>
    <row r="209" spans="1:8" ht="14.25" customHeight="1">
      <c r="A209" s="174"/>
      <c r="B209" s="174"/>
      <c r="C209" s="174"/>
      <c r="D209" s="174"/>
      <c r="E209" s="174"/>
      <c r="F209" s="174"/>
      <c r="G209" s="174"/>
      <c r="H209" s="174"/>
    </row>
    <row r="210" spans="1:8" ht="14.25" customHeight="1">
      <c r="A210" s="174"/>
      <c r="B210" s="174"/>
      <c r="C210" s="174"/>
      <c r="D210" s="174"/>
      <c r="E210" s="174"/>
      <c r="F210" s="174"/>
      <c r="G210" s="174"/>
      <c r="H210" s="174"/>
    </row>
    <row r="211" spans="1:8" ht="14.25" customHeight="1">
      <c r="A211" s="174"/>
      <c r="B211" s="174"/>
      <c r="C211" s="174"/>
      <c r="D211" s="174"/>
      <c r="E211" s="174"/>
      <c r="F211" s="174"/>
      <c r="G211" s="174"/>
      <c r="H211" s="174"/>
    </row>
    <row r="212" spans="1:8" ht="14.25" customHeight="1">
      <c r="A212" s="174"/>
      <c r="B212" s="174"/>
      <c r="C212" s="174"/>
      <c r="D212" s="174"/>
      <c r="E212" s="174"/>
      <c r="F212" s="174"/>
      <c r="G212" s="174"/>
      <c r="H212" s="174"/>
    </row>
    <row r="213" spans="1:8" ht="14.25" customHeight="1">
      <c r="A213" s="174"/>
      <c r="B213" s="174"/>
      <c r="C213" s="174"/>
      <c r="D213" s="174"/>
      <c r="E213" s="174"/>
      <c r="F213" s="174"/>
      <c r="G213" s="174"/>
      <c r="H213" s="174"/>
    </row>
    <row r="214" spans="1:8" ht="14.25" customHeight="1">
      <c r="A214" s="174"/>
      <c r="B214" s="174"/>
      <c r="C214" s="174"/>
      <c r="D214" s="174"/>
      <c r="E214" s="174"/>
      <c r="F214" s="174"/>
      <c r="G214" s="174"/>
      <c r="H214" s="174"/>
    </row>
    <row r="215" spans="1:8" ht="14.25" customHeight="1">
      <c r="A215" s="174"/>
      <c r="B215" s="174"/>
      <c r="C215" s="174"/>
      <c r="D215" s="174"/>
      <c r="E215" s="174"/>
      <c r="F215" s="174"/>
      <c r="G215" s="174"/>
      <c r="H215" s="174"/>
    </row>
    <row r="216" spans="1:8" ht="14.25" customHeight="1">
      <c r="A216" s="174"/>
      <c r="B216" s="174"/>
      <c r="C216" s="174"/>
      <c r="D216" s="174"/>
      <c r="E216" s="174"/>
      <c r="F216" s="174"/>
      <c r="G216" s="174"/>
      <c r="H216" s="174"/>
    </row>
    <row r="217" spans="1:8" ht="14.25" customHeight="1">
      <c r="A217" s="174"/>
      <c r="B217" s="174"/>
      <c r="C217" s="174"/>
      <c r="D217" s="174"/>
      <c r="E217" s="174"/>
      <c r="F217" s="174"/>
      <c r="G217" s="174"/>
      <c r="H217" s="174"/>
    </row>
    <row r="218" spans="1:8" ht="14.25" customHeight="1">
      <c r="A218" s="174"/>
      <c r="B218" s="174"/>
      <c r="C218" s="174"/>
      <c r="D218" s="174"/>
      <c r="E218" s="174"/>
      <c r="F218" s="174"/>
      <c r="G218" s="174"/>
      <c r="H218" s="174"/>
    </row>
    <row r="219" spans="1:8" ht="14.25" customHeight="1">
      <c r="A219" s="174"/>
      <c r="B219" s="174"/>
      <c r="C219" s="174"/>
      <c r="D219" s="174"/>
      <c r="E219" s="174"/>
      <c r="F219" s="174"/>
      <c r="G219" s="174"/>
      <c r="H219" s="174"/>
    </row>
    <row r="220" spans="1:8" ht="14.25" customHeight="1">
      <c r="A220" s="174"/>
      <c r="B220" s="174"/>
      <c r="C220" s="174"/>
      <c r="D220" s="174"/>
      <c r="E220" s="174"/>
      <c r="F220" s="174"/>
      <c r="G220" s="174"/>
      <c r="H220" s="174"/>
    </row>
    <row r="221" spans="1:8" ht="14.25" customHeight="1">
      <c r="A221" s="174"/>
      <c r="B221" s="174"/>
      <c r="C221" s="174"/>
      <c r="D221" s="174"/>
      <c r="E221" s="174"/>
      <c r="F221" s="174"/>
      <c r="G221" s="174"/>
      <c r="H221" s="174"/>
    </row>
    <row r="222" spans="1:8" ht="14.25" customHeight="1">
      <c r="A222" s="174"/>
      <c r="B222" s="174"/>
      <c r="C222" s="174"/>
      <c r="D222" s="174"/>
      <c r="E222" s="174"/>
      <c r="F222" s="174"/>
      <c r="G222" s="174"/>
      <c r="H222" s="174"/>
    </row>
    <row r="223" spans="1:8" ht="14.25" customHeight="1">
      <c r="A223" s="174"/>
      <c r="B223" s="174"/>
      <c r="C223" s="174"/>
      <c r="D223" s="174"/>
      <c r="E223" s="174"/>
      <c r="F223" s="174"/>
      <c r="G223" s="174"/>
      <c r="H223" s="174"/>
    </row>
    <row r="224" spans="1:8" ht="14.25" customHeight="1">
      <c r="A224" s="174"/>
      <c r="B224" s="174"/>
      <c r="C224" s="174"/>
      <c r="D224" s="174"/>
      <c r="E224" s="174"/>
      <c r="F224" s="174"/>
      <c r="G224" s="174"/>
      <c r="H224" s="174"/>
    </row>
    <row r="225" spans="1:8" ht="14.25" customHeight="1">
      <c r="A225" s="174"/>
      <c r="B225" s="174"/>
      <c r="C225" s="174"/>
      <c r="D225" s="174"/>
      <c r="E225" s="174"/>
      <c r="F225" s="174"/>
      <c r="G225" s="174"/>
      <c r="H225" s="174"/>
    </row>
    <row r="226" spans="1:8" ht="14.25" customHeight="1">
      <c r="A226" s="174"/>
      <c r="B226" s="174"/>
      <c r="C226" s="174"/>
      <c r="D226" s="174"/>
      <c r="E226" s="174"/>
      <c r="F226" s="174"/>
      <c r="G226" s="174"/>
      <c r="H226" s="174"/>
    </row>
    <row r="227" spans="1:8" ht="14.25" customHeight="1">
      <c r="A227" s="174"/>
      <c r="B227" s="174"/>
      <c r="C227" s="174"/>
      <c r="D227" s="174"/>
      <c r="E227" s="174"/>
      <c r="F227" s="174"/>
      <c r="G227" s="174"/>
      <c r="H227" s="174"/>
    </row>
    <row r="228" spans="1:8" ht="14.25" customHeight="1">
      <c r="A228" s="174"/>
      <c r="B228" s="174"/>
      <c r="C228" s="174"/>
      <c r="D228" s="174"/>
      <c r="E228" s="174"/>
      <c r="F228" s="174"/>
      <c r="G228" s="174"/>
      <c r="H228" s="174"/>
    </row>
    <row r="229" spans="1:8" ht="14.25" customHeight="1">
      <c r="A229" s="174"/>
      <c r="B229" s="174"/>
      <c r="C229" s="174"/>
      <c r="D229" s="174"/>
      <c r="E229" s="174"/>
      <c r="F229" s="174"/>
      <c r="G229" s="174"/>
      <c r="H229" s="174"/>
    </row>
    <row r="230" spans="1:8" ht="14.25" customHeight="1">
      <c r="A230" s="174"/>
      <c r="B230" s="174"/>
      <c r="C230" s="174"/>
      <c r="D230" s="174"/>
      <c r="E230" s="174"/>
      <c r="F230" s="174"/>
      <c r="G230" s="174"/>
      <c r="H230" s="174"/>
    </row>
    <row r="231" spans="1:8" ht="14.25" customHeight="1">
      <c r="A231" s="174"/>
      <c r="B231" s="174"/>
      <c r="C231" s="174"/>
      <c r="D231" s="174"/>
      <c r="E231" s="174"/>
      <c r="F231" s="174"/>
      <c r="G231" s="174"/>
      <c r="H231" s="174"/>
    </row>
    <row r="232" spans="1:8" ht="14.25" customHeight="1">
      <c r="A232" s="174"/>
      <c r="B232" s="174"/>
      <c r="C232" s="174"/>
      <c r="D232" s="174"/>
      <c r="E232" s="174"/>
      <c r="F232" s="174"/>
      <c r="G232" s="174"/>
      <c r="H232" s="174"/>
    </row>
    <row r="233" spans="1:8" ht="14.25" customHeight="1">
      <c r="A233" s="174"/>
      <c r="B233" s="174"/>
      <c r="C233" s="174"/>
      <c r="D233" s="174"/>
      <c r="E233" s="174"/>
      <c r="F233" s="174"/>
      <c r="G233" s="174"/>
      <c r="H233" s="174"/>
    </row>
    <row r="234" spans="1:8" ht="14.25" customHeight="1">
      <c r="A234" s="174"/>
      <c r="B234" s="174"/>
      <c r="C234" s="174"/>
      <c r="D234" s="174"/>
      <c r="E234" s="174"/>
      <c r="F234" s="174"/>
      <c r="G234" s="174"/>
      <c r="H234" s="174"/>
    </row>
    <row r="235" spans="1:8" ht="14.25" customHeight="1">
      <c r="A235" s="174"/>
      <c r="B235" s="174"/>
      <c r="C235" s="174"/>
      <c r="D235" s="174"/>
      <c r="E235" s="174"/>
      <c r="F235" s="174"/>
      <c r="G235" s="174"/>
      <c r="H235" s="174"/>
    </row>
    <row r="236" spans="1:8" ht="14.25" customHeight="1">
      <c r="A236" s="174"/>
      <c r="B236" s="174"/>
      <c r="C236" s="174"/>
      <c r="D236" s="174"/>
      <c r="E236" s="174"/>
      <c r="F236" s="174"/>
      <c r="G236" s="174"/>
      <c r="H236" s="174"/>
    </row>
    <row r="237" spans="1:8" ht="14.25" customHeight="1">
      <c r="A237" s="174"/>
      <c r="B237" s="174"/>
      <c r="C237" s="174"/>
      <c r="D237" s="174"/>
      <c r="E237" s="174"/>
      <c r="F237" s="174"/>
      <c r="G237" s="174"/>
      <c r="H237" s="174"/>
    </row>
    <row r="238" spans="1:8" ht="14.25" customHeight="1">
      <c r="A238" s="174"/>
      <c r="B238" s="174"/>
      <c r="C238" s="174"/>
      <c r="D238" s="174"/>
      <c r="E238" s="174"/>
      <c r="F238" s="174"/>
      <c r="G238" s="174"/>
      <c r="H238" s="174"/>
    </row>
    <row r="239" spans="1:8" ht="14.25" customHeight="1">
      <c r="A239" s="174"/>
      <c r="B239" s="174"/>
      <c r="C239" s="174"/>
      <c r="D239" s="174"/>
      <c r="E239" s="174"/>
      <c r="F239" s="174"/>
      <c r="G239" s="174"/>
      <c r="H239" s="174"/>
    </row>
    <row r="240" spans="1:8" ht="14.25" customHeight="1">
      <c r="A240" s="174"/>
      <c r="B240" s="174"/>
      <c r="C240" s="174"/>
      <c r="D240" s="174"/>
      <c r="E240" s="174"/>
      <c r="F240" s="174"/>
      <c r="G240" s="174"/>
      <c r="H240" s="174"/>
    </row>
    <row r="241" spans="1:8" ht="14.25" customHeight="1">
      <c r="A241" s="174"/>
      <c r="B241" s="174"/>
      <c r="C241" s="174"/>
      <c r="D241" s="174"/>
      <c r="E241" s="174"/>
      <c r="F241" s="174"/>
      <c r="G241" s="174"/>
      <c r="H241" s="174"/>
    </row>
    <row r="242" spans="1:8" ht="14.25" customHeight="1">
      <c r="A242" s="174"/>
      <c r="B242" s="174"/>
      <c r="C242" s="174"/>
      <c r="D242" s="174"/>
      <c r="E242" s="174"/>
      <c r="F242" s="174"/>
      <c r="G242" s="174"/>
      <c r="H242" s="174"/>
    </row>
    <row r="243" spans="1:8" ht="14.25" customHeight="1">
      <c r="A243" s="174"/>
      <c r="B243" s="174"/>
      <c r="C243" s="174"/>
      <c r="D243" s="174"/>
      <c r="E243" s="174"/>
      <c r="F243" s="174"/>
      <c r="G243" s="174"/>
      <c r="H243" s="174"/>
    </row>
    <row r="244" spans="1:8" ht="14.25" customHeight="1">
      <c r="A244" s="174"/>
      <c r="B244" s="174"/>
      <c r="C244" s="174"/>
      <c r="D244" s="174"/>
      <c r="E244" s="174"/>
      <c r="F244" s="174"/>
      <c r="G244" s="174"/>
      <c r="H244" s="174"/>
    </row>
    <row r="245" spans="1:8" ht="14.25" customHeight="1">
      <c r="A245" s="174"/>
      <c r="B245" s="174"/>
      <c r="C245" s="174"/>
      <c r="D245" s="174"/>
      <c r="E245" s="174"/>
      <c r="F245" s="174"/>
      <c r="G245" s="174"/>
      <c r="H245" s="174"/>
    </row>
    <row r="246" spans="1:8" ht="14.25" customHeight="1">
      <c r="A246" s="174"/>
      <c r="B246" s="174"/>
      <c r="C246" s="174"/>
      <c r="D246" s="174"/>
      <c r="E246" s="174"/>
      <c r="F246" s="174"/>
      <c r="G246" s="174"/>
      <c r="H246" s="174"/>
    </row>
    <row r="247" spans="1:8" ht="14.25" customHeight="1">
      <c r="A247" s="174"/>
      <c r="B247" s="174"/>
      <c r="C247" s="174"/>
      <c r="D247" s="174"/>
      <c r="E247" s="174"/>
      <c r="F247" s="174"/>
      <c r="G247" s="174"/>
      <c r="H247" s="174"/>
    </row>
    <row r="248" spans="1:8" ht="14.25" customHeight="1">
      <c r="A248" s="174"/>
      <c r="B248" s="174"/>
      <c r="C248" s="174"/>
      <c r="D248" s="174"/>
      <c r="E248" s="174"/>
      <c r="F248" s="174"/>
      <c r="G248" s="174"/>
      <c r="H248" s="174"/>
    </row>
    <row r="249" spans="1:8" ht="14.25" customHeight="1">
      <c r="A249" s="174"/>
      <c r="B249" s="174"/>
      <c r="C249" s="174"/>
      <c r="D249" s="174"/>
      <c r="E249" s="174"/>
      <c r="F249" s="174"/>
      <c r="G249" s="174"/>
      <c r="H249" s="174"/>
    </row>
    <row r="250" spans="1:8" ht="14.25" customHeight="1">
      <c r="A250" s="174"/>
      <c r="B250" s="174"/>
      <c r="C250" s="174"/>
      <c r="D250" s="174"/>
      <c r="E250" s="174"/>
      <c r="F250" s="174"/>
      <c r="G250" s="174"/>
      <c r="H250" s="174"/>
    </row>
    <row r="251" spans="1:8" ht="14.25" customHeight="1">
      <c r="A251" s="174"/>
      <c r="B251" s="174"/>
      <c r="C251" s="174"/>
      <c r="D251" s="174"/>
      <c r="E251" s="174"/>
      <c r="F251" s="174"/>
      <c r="G251" s="174"/>
      <c r="H251" s="174"/>
    </row>
    <row r="252" spans="1:8" ht="14.25" customHeight="1">
      <c r="A252" s="174"/>
      <c r="B252" s="174"/>
      <c r="C252" s="174"/>
      <c r="D252" s="174"/>
      <c r="E252" s="174"/>
      <c r="F252" s="174"/>
      <c r="G252" s="174"/>
      <c r="H252" s="174"/>
    </row>
    <row r="253" spans="1:8" ht="14.25" customHeight="1">
      <c r="A253" s="174"/>
      <c r="B253" s="174"/>
      <c r="C253" s="174"/>
      <c r="D253" s="174"/>
      <c r="E253" s="174"/>
      <c r="F253" s="174"/>
      <c r="G253" s="174"/>
      <c r="H253" s="174"/>
    </row>
    <row r="254" spans="1:8" ht="14.25" customHeight="1">
      <c r="A254" s="174"/>
      <c r="B254" s="174"/>
      <c r="C254" s="174"/>
      <c r="D254" s="174"/>
      <c r="E254" s="174"/>
      <c r="F254" s="174"/>
      <c r="G254" s="174"/>
      <c r="H254" s="174"/>
    </row>
    <row r="255" spans="1:8" ht="14.25" customHeight="1">
      <c r="A255" s="174"/>
      <c r="B255" s="174"/>
      <c r="C255" s="174"/>
      <c r="D255" s="174"/>
      <c r="E255" s="174"/>
      <c r="F255" s="174"/>
      <c r="G255" s="174"/>
      <c r="H255" s="174"/>
    </row>
    <row r="256" spans="1:8" ht="14.25" customHeight="1">
      <c r="A256" s="174"/>
      <c r="B256" s="174"/>
      <c r="C256" s="174"/>
      <c r="D256" s="174"/>
      <c r="E256" s="174"/>
      <c r="F256" s="174"/>
      <c r="G256" s="174"/>
      <c r="H256" s="174"/>
    </row>
    <row r="257" spans="1:8" ht="14.25" customHeight="1">
      <c r="A257" s="174"/>
      <c r="B257" s="174"/>
      <c r="C257" s="174"/>
      <c r="D257" s="174"/>
      <c r="E257" s="174"/>
      <c r="F257" s="174"/>
      <c r="G257" s="174"/>
      <c r="H257" s="174"/>
    </row>
    <row r="258" spans="1:8" ht="14.25" customHeight="1">
      <c r="A258" s="174"/>
      <c r="B258" s="174"/>
      <c r="C258" s="174"/>
      <c r="D258" s="174"/>
      <c r="E258" s="174"/>
      <c r="F258" s="174"/>
      <c r="G258" s="174"/>
      <c r="H258" s="174"/>
    </row>
    <row r="259" spans="1:8" ht="14.25" customHeight="1">
      <c r="A259" s="174"/>
      <c r="B259" s="174"/>
      <c r="C259" s="174"/>
      <c r="D259" s="174"/>
      <c r="E259" s="174"/>
      <c r="F259" s="174"/>
      <c r="G259" s="174"/>
      <c r="H259" s="174"/>
    </row>
    <row r="260" spans="1:8" ht="14.25" customHeight="1">
      <c r="A260" s="174"/>
      <c r="B260" s="174"/>
      <c r="C260" s="174"/>
      <c r="D260" s="174"/>
      <c r="E260" s="174"/>
      <c r="F260" s="174"/>
      <c r="G260" s="174"/>
      <c r="H260" s="174"/>
    </row>
    <row r="261" spans="1:8" ht="14.25" customHeight="1">
      <c r="A261" s="174"/>
      <c r="B261" s="174"/>
      <c r="C261" s="174"/>
      <c r="D261" s="174"/>
      <c r="E261" s="174"/>
      <c r="F261" s="174"/>
      <c r="G261" s="174"/>
      <c r="H261" s="174"/>
    </row>
    <row r="262" spans="1:8" ht="14.25" customHeight="1">
      <c r="A262" s="174"/>
      <c r="B262" s="174"/>
      <c r="C262" s="174"/>
      <c r="D262" s="174"/>
      <c r="E262" s="174"/>
      <c r="F262" s="174"/>
      <c r="G262" s="174"/>
      <c r="H262" s="174"/>
    </row>
    <row r="263" spans="1:8" ht="14.25" customHeight="1">
      <c r="A263" s="174"/>
      <c r="B263" s="174"/>
      <c r="C263" s="174"/>
      <c r="D263" s="174"/>
      <c r="E263" s="174"/>
      <c r="F263" s="174"/>
      <c r="G263" s="174"/>
      <c r="H263" s="174"/>
    </row>
    <row r="264" spans="1:8" ht="14.25" customHeight="1">
      <c r="A264" s="174"/>
      <c r="B264" s="174"/>
      <c r="C264" s="174"/>
      <c r="D264" s="174"/>
      <c r="E264" s="174"/>
      <c r="F264" s="174"/>
      <c r="G264" s="174"/>
      <c r="H264" s="174"/>
    </row>
    <row r="265" spans="1:8" ht="14.25" customHeight="1">
      <c r="A265" s="174"/>
      <c r="B265" s="174"/>
      <c r="C265" s="174"/>
      <c r="D265" s="174"/>
      <c r="E265" s="174"/>
      <c r="F265" s="174"/>
      <c r="G265" s="174"/>
      <c r="H265" s="174"/>
    </row>
    <row r="266" spans="1:8" ht="14.25" customHeight="1">
      <c r="A266" s="174"/>
      <c r="B266" s="174"/>
      <c r="C266" s="174"/>
      <c r="D266" s="174"/>
      <c r="E266" s="174"/>
      <c r="F266" s="174"/>
      <c r="G266" s="174"/>
      <c r="H266" s="174"/>
    </row>
    <row r="267" spans="1:8" ht="14.25" customHeight="1">
      <c r="A267" s="174"/>
      <c r="B267" s="174"/>
      <c r="C267" s="174"/>
      <c r="D267" s="174"/>
      <c r="E267" s="174"/>
      <c r="F267" s="174"/>
      <c r="G267" s="174"/>
      <c r="H267" s="174"/>
    </row>
    <row r="268" spans="1:8" ht="14.25" customHeight="1">
      <c r="A268" s="174"/>
      <c r="B268" s="174"/>
      <c r="C268" s="174"/>
      <c r="D268" s="174"/>
      <c r="E268" s="174"/>
      <c r="F268" s="174"/>
      <c r="G268" s="174"/>
      <c r="H268" s="174"/>
    </row>
    <row r="269" spans="1:8" ht="14.25" customHeight="1">
      <c r="A269" s="174"/>
      <c r="B269" s="174"/>
      <c r="C269" s="174"/>
      <c r="D269" s="174"/>
      <c r="E269" s="174"/>
      <c r="F269" s="174"/>
      <c r="G269" s="174"/>
      <c r="H269" s="174"/>
    </row>
    <row r="270" spans="1:8" ht="14.25" customHeight="1">
      <c r="A270" s="174"/>
      <c r="B270" s="174"/>
      <c r="C270" s="174"/>
      <c r="D270" s="174"/>
      <c r="E270" s="174"/>
      <c r="F270" s="174"/>
      <c r="G270" s="174"/>
      <c r="H270" s="174"/>
    </row>
    <row r="271" spans="1:8" ht="14.25" customHeight="1">
      <c r="A271" s="174"/>
      <c r="B271" s="174"/>
      <c r="C271" s="174"/>
      <c r="D271" s="174"/>
      <c r="E271" s="174"/>
      <c r="F271" s="174"/>
      <c r="G271" s="174"/>
      <c r="H271" s="174"/>
    </row>
    <row r="272" spans="1:8" ht="14.25" customHeight="1">
      <c r="A272" s="174"/>
      <c r="B272" s="174"/>
      <c r="C272" s="174"/>
      <c r="D272" s="174"/>
      <c r="E272" s="174"/>
      <c r="F272" s="174"/>
      <c r="G272" s="174"/>
      <c r="H272" s="174"/>
    </row>
    <row r="273" spans="1:8" ht="14.25" customHeight="1">
      <c r="A273" s="174"/>
      <c r="B273" s="174"/>
      <c r="C273" s="174"/>
      <c r="D273" s="174"/>
      <c r="E273" s="174"/>
      <c r="F273" s="174"/>
      <c r="G273" s="174"/>
      <c r="H273" s="174"/>
    </row>
    <row r="274" spans="1:8" ht="14.25" customHeight="1">
      <c r="A274" s="174"/>
      <c r="B274" s="174"/>
      <c r="C274" s="174"/>
      <c r="D274" s="174"/>
      <c r="E274" s="174"/>
      <c r="F274" s="174"/>
      <c r="G274" s="174"/>
      <c r="H274" s="174"/>
    </row>
    <row r="275" spans="1:8" ht="14.25" customHeight="1">
      <c r="A275" s="174"/>
      <c r="B275" s="174"/>
      <c r="C275" s="174"/>
      <c r="D275" s="174"/>
      <c r="E275" s="174"/>
      <c r="F275" s="174"/>
      <c r="G275" s="174"/>
      <c r="H275" s="174"/>
    </row>
    <row r="276" spans="1:8" ht="14.25" customHeight="1">
      <c r="A276" s="174"/>
      <c r="B276" s="174"/>
      <c r="C276" s="174"/>
      <c r="D276" s="174"/>
      <c r="E276" s="174"/>
      <c r="F276" s="174"/>
      <c r="G276" s="174"/>
      <c r="H276" s="174"/>
    </row>
    <row r="277" spans="1:8" ht="14.25" customHeight="1">
      <c r="A277" s="174"/>
      <c r="B277" s="174"/>
      <c r="C277" s="174"/>
      <c r="D277" s="174"/>
      <c r="E277" s="174"/>
      <c r="F277" s="174"/>
      <c r="G277" s="174"/>
      <c r="H277" s="174"/>
    </row>
    <row r="278" spans="1:8" ht="14.25" customHeight="1">
      <c r="A278" s="174"/>
      <c r="B278" s="174"/>
      <c r="C278" s="174"/>
      <c r="D278" s="174"/>
      <c r="E278" s="174"/>
      <c r="F278" s="174"/>
      <c r="G278" s="174"/>
      <c r="H278" s="174"/>
    </row>
    <row r="279" spans="1:8" ht="14.25" customHeight="1">
      <c r="A279" s="174"/>
      <c r="B279" s="174"/>
      <c r="C279" s="174"/>
      <c r="D279" s="174"/>
      <c r="E279" s="174"/>
      <c r="F279" s="174"/>
      <c r="G279" s="174"/>
      <c r="H279" s="174"/>
    </row>
    <row r="280" spans="1:8" ht="14.25" customHeight="1">
      <c r="A280" s="174"/>
      <c r="B280" s="174"/>
      <c r="C280" s="174"/>
      <c r="D280" s="174"/>
      <c r="E280" s="174"/>
      <c r="F280" s="174"/>
      <c r="G280" s="174"/>
      <c r="H280" s="174"/>
    </row>
    <row r="281" spans="1:8" ht="14.25" customHeight="1">
      <c r="A281" s="174"/>
      <c r="B281" s="174"/>
      <c r="C281" s="174"/>
      <c r="D281" s="174"/>
      <c r="E281" s="174"/>
      <c r="F281" s="174"/>
      <c r="G281" s="174"/>
      <c r="H281" s="174"/>
    </row>
    <row r="282" spans="1:8" ht="14.25" customHeight="1">
      <c r="A282" s="174"/>
      <c r="B282" s="174"/>
      <c r="C282" s="174"/>
      <c r="D282" s="174"/>
      <c r="E282" s="174"/>
      <c r="F282" s="174"/>
      <c r="G282" s="174"/>
      <c r="H282" s="174"/>
    </row>
    <row r="283" spans="1:8" ht="14.25" customHeight="1">
      <c r="A283" s="174"/>
      <c r="B283" s="174"/>
      <c r="C283" s="174"/>
      <c r="D283" s="174"/>
      <c r="E283" s="174"/>
      <c r="F283" s="174"/>
      <c r="G283" s="174"/>
      <c r="H283" s="174"/>
    </row>
    <row r="284" spans="1:8" ht="14.25" customHeight="1">
      <c r="A284" s="174"/>
      <c r="B284" s="174"/>
      <c r="C284" s="174"/>
      <c r="D284" s="174"/>
      <c r="E284" s="174"/>
      <c r="F284" s="174"/>
      <c r="G284" s="174"/>
      <c r="H284" s="174"/>
    </row>
    <row r="285" spans="1:8" ht="14.25" customHeight="1">
      <c r="A285" s="174"/>
      <c r="B285" s="174"/>
      <c r="C285" s="174"/>
      <c r="D285" s="174"/>
      <c r="E285" s="174"/>
      <c r="F285" s="174"/>
      <c r="G285" s="174"/>
      <c r="H285" s="174"/>
    </row>
    <row r="286" spans="1:8" ht="14.25" customHeight="1">
      <c r="A286" s="174"/>
      <c r="B286" s="174"/>
      <c r="C286" s="174"/>
      <c r="D286" s="174"/>
      <c r="E286" s="174"/>
      <c r="F286" s="174"/>
      <c r="G286" s="174"/>
      <c r="H286" s="174"/>
    </row>
    <row r="287" spans="1:8" ht="14.25" customHeight="1">
      <c r="A287" s="174"/>
      <c r="B287" s="174"/>
      <c r="C287" s="174"/>
      <c r="D287" s="174"/>
      <c r="E287" s="174"/>
      <c r="F287" s="174"/>
      <c r="G287" s="174"/>
      <c r="H287" s="174"/>
    </row>
    <row r="288" spans="1:8" ht="14.25" customHeight="1">
      <c r="A288" s="174"/>
      <c r="B288" s="174"/>
      <c r="C288" s="174"/>
      <c r="D288" s="174"/>
      <c r="E288" s="174"/>
      <c r="F288" s="174"/>
      <c r="G288" s="174"/>
      <c r="H288" s="174"/>
    </row>
    <row r="289" spans="1:8" ht="14.25" customHeight="1">
      <c r="A289" s="174"/>
      <c r="B289" s="174"/>
      <c r="C289" s="174"/>
      <c r="D289" s="174"/>
      <c r="E289" s="174"/>
      <c r="F289" s="174"/>
      <c r="G289" s="174"/>
      <c r="H289" s="174"/>
    </row>
    <row r="290" spans="1:8" ht="14.25" customHeight="1">
      <c r="A290" s="174"/>
      <c r="B290" s="174"/>
      <c r="C290" s="174"/>
      <c r="D290" s="174"/>
      <c r="E290" s="174"/>
      <c r="F290" s="174"/>
      <c r="G290" s="174"/>
      <c r="H290" s="174"/>
    </row>
    <row r="291" spans="1:8" ht="14.25" customHeight="1">
      <c r="A291" s="174"/>
      <c r="B291" s="174"/>
      <c r="C291" s="174"/>
      <c r="D291" s="174"/>
      <c r="E291" s="174"/>
      <c r="F291" s="174"/>
      <c r="G291" s="174"/>
      <c r="H291" s="174"/>
    </row>
    <row r="292" spans="1:8" ht="14.25" customHeight="1">
      <c r="A292" s="174"/>
      <c r="B292" s="174"/>
      <c r="C292" s="174"/>
      <c r="D292" s="174"/>
      <c r="E292" s="174"/>
      <c r="F292" s="174"/>
      <c r="G292" s="174"/>
      <c r="H292" s="174"/>
    </row>
    <row r="293" spans="1:8" ht="14.25" customHeight="1">
      <c r="A293" s="174"/>
      <c r="B293" s="174"/>
      <c r="C293" s="174"/>
      <c r="D293" s="174"/>
      <c r="E293" s="174"/>
      <c r="F293" s="174"/>
      <c r="G293" s="174"/>
      <c r="H293" s="174"/>
    </row>
    <row r="294" spans="1:8" ht="14.25" customHeight="1">
      <c r="A294" s="174"/>
      <c r="B294" s="174"/>
      <c r="C294" s="174"/>
      <c r="D294" s="174"/>
      <c r="E294" s="174"/>
      <c r="F294" s="174"/>
      <c r="G294" s="174"/>
      <c r="H294" s="174"/>
    </row>
    <row r="295" spans="1:8" ht="14.25" customHeight="1">
      <c r="A295" s="174"/>
      <c r="B295" s="174"/>
      <c r="C295" s="174"/>
      <c r="D295" s="174"/>
      <c r="E295" s="174"/>
      <c r="F295" s="174"/>
      <c r="G295" s="174"/>
      <c r="H295" s="174"/>
    </row>
    <row r="296" spans="1:8" ht="14.25" customHeight="1">
      <c r="A296" s="174"/>
      <c r="B296" s="174"/>
      <c r="C296" s="174"/>
      <c r="D296" s="174"/>
      <c r="E296" s="174"/>
      <c r="F296" s="174"/>
      <c r="G296" s="174"/>
      <c r="H296" s="174"/>
    </row>
    <row r="297" spans="1:8" ht="14.25" customHeight="1">
      <c r="A297" s="174"/>
      <c r="B297" s="174"/>
      <c r="C297" s="174"/>
      <c r="D297" s="174"/>
      <c r="E297" s="174"/>
      <c r="F297" s="174"/>
      <c r="G297" s="174"/>
      <c r="H297" s="174"/>
    </row>
    <row r="298" spans="1:8" ht="14.25" customHeight="1">
      <c r="A298" s="174"/>
      <c r="B298" s="174"/>
      <c r="C298" s="174"/>
      <c r="D298" s="174"/>
      <c r="E298" s="174"/>
      <c r="F298" s="174"/>
      <c r="G298" s="174"/>
      <c r="H298" s="174"/>
    </row>
    <row r="299" spans="1:8" ht="14.25" customHeight="1">
      <c r="A299" s="174"/>
      <c r="B299" s="174"/>
      <c r="C299" s="174"/>
      <c r="D299" s="174"/>
      <c r="E299" s="174"/>
      <c r="F299" s="174"/>
      <c r="G299" s="174"/>
      <c r="H299" s="174"/>
    </row>
    <row r="300" spans="1:8" ht="14.25" customHeight="1">
      <c r="A300" s="174"/>
      <c r="B300" s="174"/>
      <c r="C300" s="174"/>
      <c r="D300" s="174"/>
      <c r="E300" s="174"/>
      <c r="F300" s="174"/>
      <c r="G300" s="174"/>
      <c r="H300" s="174"/>
    </row>
    <row r="301" spans="1:8" ht="14.25" customHeight="1">
      <c r="A301" s="174"/>
      <c r="B301" s="174"/>
      <c r="C301" s="174"/>
      <c r="D301" s="174"/>
      <c r="E301" s="174"/>
      <c r="F301" s="174"/>
      <c r="G301" s="174"/>
      <c r="H301" s="174"/>
    </row>
    <row r="302" spans="1:8" ht="14.25" customHeight="1">
      <c r="A302" s="174"/>
      <c r="B302" s="174"/>
      <c r="C302" s="174"/>
      <c r="D302" s="174"/>
      <c r="E302" s="174"/>
      <c r="F302" s="174"/>
      <c r="G302" s="174"/>
      <c r="H302" s="174"/>
    </row>
    <row r="303" spans="1:8" ht="14.25" customHeight="1">
      <c r="A303" s="174"/>
      <c r="B303" s="174"/>
      <c r="C303" s="174"/>
      <c r="D303" s="174"/>
      <c r="E303" s="174"/>
      <c r="F303" s="174"/>
      <c r="G303" s="174"/>
      <c r="H303" s="174"/>
    </row>
    <row r="304" spans="1:8" ht="14.25" customHeight="1">
      <c r="A304" s="174"/>
      <c r="B304" s="174"/>
      <c r="C304" s="174"/>
      <c r="D304" s="174"/>
      <c r="E304" s="174"/>
      <c r="F304" s="174"/>
      <c r="G304" s="174"/>
      <c r="H304" s="174"/>
    </row>
    <row r="305" spans="1:8" ht="14.25" customHeight="1">
      <c r="A305" s="174"/>
      <c r="B305" s="174"/>
      <c r="C305" s="174"/>
      <c r="D305" s="174"/>
      <c r="E305" s="174"/>
      <c r="F305" s="174"/>
      <c r="G305" s="174"/>
      <c r="H305" s="174"/>
    </row>
    <row r="306" spans="1:8" ht="14.25" customHeight="1">
      <c r="A306" s="174"/>
      <c r="B306" s="174"/>
      <c r="C306" s="174"/>
      <c r="D306" s="174"/>
      <c r="E306" s="174"/>
      <c r="F306" s="174"/>
      <c r="G306" s="174"/>
      <c r="H306" s="174"/>
    </row>
    <row r="307" spans="1:8" ht="14.25" customHeight="1">
      <c r="A307" s="174"/>
      <c r="B307" s="174"/>
      <c r="C307" s="174"/>
      <c r="D307" s="174"/>
      <c r="E307" s="174"/>
      <c r="F307" s="174"/>
      <c r="G307" s="174"/>
      <c r="H307" s="174"/>
    </row>
    <row r="308" spans="1:8" ht="14.25" customHeight="1">
      <c r="A308" s="174"/>
      <c r="B308" s="174"/>
      <c r="C308" s="174"/>
      <c r="D308" s="174"/>
      <c r="E308" s="174"/>
      <c r="F308" s="174"/>
      <c r="G308" s="174"/>
      <c r="H308" s="174"/>
    </row>
    <row r="309" spans="1:8" ht="14.25" customHeight="1">
      <c r="A309" s="174"/>
      <c r="B309" s="174"/>
      <c r="C309" s="174"/>
      <c r="D309" s="174"/>
      <c r="E309" s="174"/>
      <c r="F309" s="174"/>
      <c r="G309" s="174"/>
      <c r="H309" s="174"/>
    </row>
    <row r="310" spans="1:8" ht="14.25" customHeight="1">
      <c r="A310" s="174"/>
      <c r="B310" s="174"/>
      <c r="C310" s="174"/>
      <c r="D310" s="174"/>
      <c r="E310" s="174"/>
      <c r="F310" s="174"/>
      <c r="G310" s="174"/>
      <c r="H310" s="174"/>
    </row>
    <row r="311" spans="1:8" ht="14.25" customHeight="1">
      <c r="A311" s="174"/>
      <c r="B311" s="174"/>
      <c r="C311" s="174"/>
      <c r="D311" s="174"/>
      <c r="E311" s="174"/>
      <c r="F311" s="174"/>
      <c r="G311" s="174"/>
      <c r="H311" s="174"/>
    </row>
    <row r="312" spans="1:8" ht="14.25" customHeight="1">
      <c r="A312" s="174"/>
      <c r="B312" s="174"/>
      <c r="C312" s="174"/>
      <c r="D312" s="174"/>
      <c r="E312" s="174"/>
      <c r="F312" s="174"/>
      <c r="G312" s="174"/>
      <c r="H312" s="174"/>
    </row>
    <row r="313" spans="1:8" ht="14.25" customHeight="1">
      <c r="A313" s="174"/>
      <c r="B313" s="174"/>
      <c r="C313" s="174"/>
      <c r="D313" s="174"/>
      <c r="E313" s="174"/>
      <c r="F313" s="174"/>
      <c r="G313" s="174"/>
      <c r="H313" s="174"/>
    </row>
    <row r="314" spans="1:8" ht="14.25" customHeight="1">
      <c r="A314" s="174"/>
      <c r="B314" s="174"/>
      <c r="C314" s="174"/>
      <c r="D314" s="174"/>
      <c r="E314" s="174"/>
      <c r="F314" s="174"/>
      <c r="G314" s="174"/>
      <c r="H314" s="174"/>
    </row>
    <row r="315" spans="1:8" ht="14.25" customHeight="1">
      <c r="A315" s="174"/>
      <c r="B315" s="174"/>
      <c r="C315" s="174"/>
      <c r="D315" s="174"/>
      <c r="E315" s="174"/>
      <c r="F315" s="174"/>
      <c r="G315" s="174"/>
      <c r="H315" s="174"/>
    </row>
    <row r="316" spans="1:8" ht="14.25" customHeight="1">
      <c r="A316" s="174"/>
      <c r="B316" s="174"/>
      <c r="C316" s="174"/>
      <c r="D316" s="174"/>
      <c r="E316" s="174"/>
      <c r="F316" s="174"/>
      <c r="G316" s="174"/>
      <c r="H316" s="174"/>
    </row>
    <row r="317" spans="1:8" ht="14.25" customHeight="1">
      <c r="A317" s="174"/>
      <c r="B317" s="174"/>
      <c r="C317" s="174"/>
      <c r="D317" s="174"/>
      <c r="E317" s="174"/>
      <c r="F317" s="174"/>
      <c r="G317" s="174"/>
      <c r="H317" s="174"/>
    </row>
    <row r="318" spans="1:8" ht="14.25" customHeight="1">
      <c r="A318" s="174"/>
      <c r="B318" s="174"/>
      <c r="C318" s="174"/>
      <c r="D318" s="174"/>
      <c r="E318" s="174"/>
      <c r="F318" s="174"/>
      <c r="G318" s="174"/>
      <c r="H318" s="174"/>
    </row>
    <row r="319" spans="1:8" ht="14.25" customHeight="1">
      <c r="A319" s="174"/>
      <c r="B319" s="174"/>
      <c r="C319" s="174"/>
      <c r="D319" s="174"/>
      <c r="E319" s="174"/>
      <c r="F319" s="174"/>
      <c r="G319" s="174"/>
      <c r="H319" s="174"/>
    </row>
    <row r="320" spans="1:8" ht="14.25" customHeight="1">
      <c r="A320" s="174"/>
      <c r="B320" s="174"/>
      <c r="C320" s="174"/>
      <c r="D320" s="174"/>
      <c r="E320" s="174"/>
      <c r="F320" s="174"/>
      <c r="G320" s="174"/>
      <c r="H320" s="174"/>
    </row>
    <row r="321" spans="1:8" ht="14.25" customHeight="1">
      <c r="A321" s="174"/>
      <c r="B321" s="174"/>
      <c r="C321" s="174"/>
      <c r="D321" s="174"/>
      <c r="E321" s="174"/>
      <c r="F321" s="174"/>
      <c r="G321" s="174"/>
      <c r="H321" s="174"/>
    </row>
    <row r="322" spans="1:8" ht="14.25" customHeight="1">
      <c r="A322" s="174"/>
      <c r="B322" s="174"/>
      <c r="C322" s="174"/>
      <c r="D322" s="174"/>
      <c r="E322" s="174"/>
      <c r="F322" s="174"/>
      <c r="G322" s="174"/>
      <c r="H322" s="174"/>
    </row>
    <row r="323" spans="1:8" ht="14.25" customHeight="1">
      <c r="A323" s="174"/>
      <c r="B323" s="174"/>
      <c r="C323" s="174"/>
      <c r="D323" s="174"/>
      <c r="E323" s="174"/>
      <c r="F323" s="174"/>
      <c r="G323" s="174"/>
      <c r="H323" s="174"/>
    </row>
    <row r="324" spans="1:8" ht="14.25" customHeight="1">
      <c r="A324" s="174"/>
      <c r="B324" s="174"/>
      <c r="C324" s="174"/>
      <c r="D324" s="174"/>
      <c r="E324" s="174"/>
      <c r="F324" s="174"/>
      <c r="G324" s="174"/>
      <c r="H324" s="174"/>
    </row>
    <row r="325" spans="1:8" ht="14.25" customHeight="1">
      <c r="A325" s="174"/>
      <c r="B325" s="174"/>
      <c r="C325" s="174"/>
      <c r="D325" s="174"/>
      <c r="E325" s="174"/>
      <c r="F325" s="174"/>
      <c r="G325" s="174"/>
      <c r="H325" s="174"/>
    </row>
    <row r="326" spans="1:8" ht="14.25" customHeight="1">
      <c r="A326" s="174"/>
      <c r="B326" s="174"/>
      <c r="C326" s="174"/>
      <c r="D326" s="174"/>
      <c r="E326" s="174"/>
      <c r="F326" s="174"/>
      <c r="G326" s="174"/>
      <c r="H326" s="174"/>
    </row>
    <row r="327" spans="1:8" ht="14.25" customHeight="1">
      <c r="A327" s="174"/>
      <c r="B327" s="174"/>
      <c r="C327" s="174"/>
      <c r="D327" s="174"/>
      <c r="E327" s="174"/>
      <c r="F327" s="174"/>
      <c r="G327" s="174"/>
      <c r="H327" s="174"/>
    </row>
    <row r="328" spans="1:8" ht="14.25" customHeight="1">
      <c r="A328" s="174"/>
      <c r="B328" s="174"/>
      <c r="C328" s="174"/>
      <c r="D328" s="174"/>
      <c r="E328" s="174"/>
      <c r="F328" s="174"/>
      <c r="G328" s="174"/>
      <c r="H328" s="174"/>
    </row>
    <row r="329" spans="1:8" ht="14.25" customHeight="1">
      <c r="A329" s="174"/>
      <c r="B329" s="174"/>
      <c r="C329" s="174"/>
      <c r="D329" s="174"/>
      <c r="E329" s="174"/>
      <c r="F329" s="174"/>
      <c r="G329" s="174"/>
      <c r="H329" s="174"/>
    </row>
    <row r="330" spans="1:8" ht="14.25" customHeight="1">
      <c r="A330" s="174"/>
      <c r="B330" s="174"/>
      <c r="C330" s="174"/>
      <c r="D330" s="174"/>
      <c r="E330" s="174"/>
      <c r="F330" s="174"/>
      <c r="G330" s="174"/>
      <c r="H330" s="174"/>
    </row>
    <row r="331" spans="1:8" ht="14.25" customHeight="1">
      <c r="A331" s="174"/>
      <c r="B331" s="174"/>
      <c r="C331" s="174"/>
      <c r="D331" s="174"/>
      <c r="E331" s="174"/>
      <c r="F331" s="174"/>
      <c r="G331" s="174"/>
      <c r="H331" s="174"/>
    </row>
    <row r="332" spans="1:8" ht="14.25" customHeight="1">
      <c r="A332" s="174"/>
      <c r="B332" s="174"/>
      <c r="C332" s="174"/>
      <c r="D332" s="174"/>
      <c r="E332" s="174"/>
      <c r="F332" s="174"/>
      <c r="G332" s="174"/>
      <c r="H332" s="174"/>
    </row>
    <row r="333" spans="1:8" ht="14.25" customHeight="1">
      <c r="A333" s="174"/>
      <c r="B333" s="174"/>
      <c r="C333" s="174"/>
      <c r="D333" s="174"/>
      <c r="E333" s="174"/>
      <c r="F333" s="174"/>
      <c r="G333" s="174"/>
      <c r="H333" s="174"/>
    </row>
    <row r="334" spans="1:8" ht="14.25" customHeight="1">
      <c r="A334" s="174"/>
      <c r="B334" s="174"/>
      <c r="C334" s="174"/>
      <c r="D334" s="174"/>
      <c r="E334" s="174"/>
      <c r="F334" s="174"/>
      <c r="G334" s="174"/>
      <c r="H334" s="174"/>
    </row>
    <row r="335" spans="1:8" ht="14.25" customHeight="1">
      <c r="A335" s="174"/>
      <c r="B335" s="174"/>
      <c r="C335" s="174"/>
      <c r="D335" s="174"/>
      <c r="E335" s="174"/>
      <c r="F335" s="174"/>
      <c r="G335" s="174"/>
      <c r="H335" s="174"/>
    </row>
    <row r="336" spans="1:8" ht="14.25" customHeight="1">
      <c r="A336" s="174"/>
      <c r="B336" s="174"/>
      <c r="C336" s="174"/>
      <c r="D336" s="174"/>
      <c r="E336" s="174"/>
      <c r="F336" s="174"/>
      <c r="G336" s="174"/>
      <c r="H336" s="174"/>
    </row>
    <row r="337" spans="1:8" ht="14.25" customHeight="1">
      <c r="A337" s="174"/>
      <c r="B337" s="174"/>
      <c r="C337" s="174"/>
      <c r="D337" s="174"/>
      <c r="E337" s="174"/>
      <c r="F337" s="174"/>
      <c r="G337" s="174"/>
      <c r="H337" s="174"/>
    </row>
    <row r="338" spans="1:8" ht="14.25" customHeight="1">
      <c r="A338" s="174"/>
      <c r="B338" s="174"/>
      <c r="C338" s="174"/>
      <c r="D338" s="174"/>
      <c r="E338" s="174"/>
      <c r="F338" s="174"/>
      <c r="G338" s="174"/>
      <c r="H338" s="174"/>
    </row>
    <row r="339" spans="1:8" ht="14.25" customHeight="1">
      <c r="A339" s="174"/>
      <c r="B339" s="174"/>
      <c r="C339" s="174"/>
      <c r="D339" s="174"/>
      <c r="E339" s="174"/>
      <c r="F339" s="174"/>
      <c r="G339" s="174"/>
      <c r="H339" s="174"/>
    </row>
    <row r="340" spans="1:8" ht="14.25" customHeight="1">
      <c r="A340" s="174"/>
      <c r="B340" s="174"/>
      <c r="C340" s="174"/>
      <c r="D340" s="174"/>
      <c r="E340" s="174"/>
      <c r="F340" s="174"/>
      <c r="G340" s="174"/>
      <c r="H340" s="174"/>
    </row>
    <row r="341" spans="1:8" ht="14.25" customHeight="1">
      <c r="A341" s="174"/>
      <c r="B341" s="174"/>
      <c r="C341" s="174"/>
      <c r="D341" s="174"/>
      <c r="E341" s="174"/>
      <c r="F341" s="174"/>
      <c r="G341" s="174"/>
      <c r="H341" s="174"/>
    </row>
    <row r="342" spans="1:8" ht="14.25" customHeight="1">
      <c r="A342" s="174"/>
      <c r="B342" s="174"/>
      <c r="C342" s="174"/>
      <c r="D342" s="174"/>
      <c r="E342" s="174"/>
      <c r="F342" s="174"/>
      <c r="G342" s="174"/>
      <c r="H342" s="174"/>
    </row>
    <row r="343" spans="1:8" ht="14.25" customHeight="1">
      <c r="A343" s="174"/>
      <c r="B343" s="174"/>
      <c r="C343" s="174"/>
      <c r="D343" s="174"/>
      <c r="E343" s="174"/>
      <c r="F343" s="174"/>
      <c r="G343" s="174"/>
      <c r="H343" s="174"/>
    </row>
    <row r="344" spans="1:8" ht="14.25" customHeight="1">
      <c r="A344" s="174"/>
      <c r="B344" s="174"/>
      <c r="C344" s="174"/>
      <c r="D344" s="174"/>
      <c r="E344" s="174"/>
      <c r="F344" s="174"/>
      <c r="G344" s="174"/>
      <c r="H344" s="174"/>
    </row>
    <row r="345" spans="1:8" ht="14.25" customHeight="1">
      <c r="A345" s="174"/>
      <c r="B345" s="174"/>
      <c r="C345" s="174"/>
      <c r="D345" s="174"/>
      <c r="E345" s="174"/>
      <c r="F345" s="174"/>
      <c r="G345" s="174"/>
      <c r="H345" s="174"/>
    </row>
    <row r="346" spans="1:8" ht="14.25" customHeight="1">
      <c r="A346" s="174"/>
      <c r="B346" s="174"/>
      <c r="C346" s="174"/>
      <c r="D346" s="174"/>
      <c r="E346" s="174"/>
      <c r="F346" s="174"/>
      <c r="G346" s="174"/>
      <c r="H346" s="174"/>
    </row>
    <row r="347" spans="1:8" ht="14.25" customHeight="1">
      <c r="A347" s="174"/>
      <c r="B347" s="174"/>
      <c r="C347" s="174"/>
      <c r="D347" s="174"/>
      <c r="E347" s="174"/>
      <c r="F347" s="174"/>
      <c r="G347" s="174"/>
      <c r="H347" s="174"/>
    </row>
    <row r="348" spans="1:8" ht="14.25" customHeight="1">
      <c r="A348" s="174"/>
      <c r="B348" s="174"/>
      <c r="C348" s="174"/>
      <c r="D348" s="174"/>
      <c r="E348" s="174"/>
      <c r="F348" s="174"/>
      <c r="G348" s="174"/>
      <c r="H348" s="174"/>
    </row>
    <row r="349" spans="1:8" ht="14.25" customHeight="1">
      <c r="A349" s="174"/>
      <c r="B349" s="174"/>
      <c r="C349" s="174"/>
      <c r="D349" s="174"/>
      <c r="E349" s="174"/>
      <c r="F349" s="174"/>
      <c r="G349" s="174"/>
      <c r="H349" s="174"/>
    </row>
    <row r="350" spans="1:8" ht="14.25" customHeight="1">
      <c r="A350" s="174"/>
      <c r="B350" s="174"/>
      <c r="C350" s="174"/>
      <c r="D350" s="174"/>
      <c r="E350" s="174"/>
      <c r="F350" s="174"/>
      <c r="G350" s="174"/>
      <c r="H350" s="174"/>
    </row>
    <row r="351" spans="1:8" ht="14.25" customHeight="1">
      <c r="A351" s="174"/>
      <c r="B351" s="174"/>
      <c r="C351" s="174"/>
      <c r="D351" s="174"/>
      <c r="E351" s="174"/>
      <c r="F351" s="174"/>
      <c r="G351" s="174"/>
      <c r="H351" s="174"/>
    </row>
    <row r="352" spans="1:8" ht="14.25" customHeight="1">
      <c r="A352" s="174"/>
      <c r="B352" s="174"/>
      <c r="C352" s="174"/>
      <c r="D352" s="174"/>
      <c r="E352" s="174"/>
      <c r="F352" s="174"/>
      <c r="G352" s="174"/>
      <c r="H352" s="174"/>
    </row>
    <row r="353" spans="1:8" ht="14.25" customHeight="1">
      <c r="A353" s="174"/>
      <c r="B353" s="174"/>
      <c r="C353" s="174"/>
      <c r="D353" s="174"/>
      <c r="E353" s="174"/>
      <c r="F353" s="174"/>
      <c r="G353" s="174"/>
      <c r="H353" s="174"/>
    </row>
    <row r="354" spans="1:8" ht="14.25" customHeight="1">
      <c r="A354" s="174"/>
      <c r="B354" s="174"/>
      <c r="C354" s="174"/>
      <c r="D354" s="174"/>
      <c r="E354" s="174"/>
      <c r="F354" s="174"/>
      <c r="G354" s="174"/>
      <c r="H354" s="174"/>
    </row>
    <row r="355" spans="1:8" ht="14.25" customHeight="1">
      <c r="A355" s="174"/>
      <c r="B355" s="174"/>
      <c r="C355" s="174"/>
      <c r="D355" s="174"/>
      <c r="E355" s="174"/>
      <c r="F355" s="174"/>
      <c r="G355" s="174"/>
      <c r="H355" s="174"/>
    </row>
    <row r="356" spans="1:8" ht="14.25" customHeight="1">
      <c r="A356" s="174"/>
      <c r="B356" s="174"/>
      <c r="C356" s="174"/>
      <c r="D356" s="174"/>
      <c r="E356" s="174"/>
      <c r="F356" s="174"/>
      <c r="G356" s="174"/>
      <c r="H356" s="174"/>
    </row>
    <row r="357" spans="1:8" ht="14.25" customHeight="1">
      <c r="A357" s="174"/>
      <c r="B357" s="174"/>
      <c r="C357" s="174"/>
      <c r="D357" s="174"/>
      <c r="E357" s="174"/>
      <c r="F357" s="174"/>
      <c r="G357" s="174"/>
      <c r="H357" s="174"/>
    </row>
    <row r="358" spans="1:8" ht="14.25" customHeight="1">
      <c r="A358" s="174"/>
      <c r="B358" s="174"/>
      <c r="C358" s="174"/>
      <c r="D358" s="174"/>
      <c r="E358" s="174"/>
      <c r="F358" s="174"/>
      <c r="G358" s="174"/>
      <c r="H358" s="174"/>
    </row>
    <row r="359" spans="1:8" ht="14.25" customHeight="1">
      <c r="A359" s="174"/>
      <c r="B359" s="174"/>
      <c r="C359" s="174"/>
      <c r="D359" s="174"/>
      <c r="E359" s="174"/>
      <c r="F359" s="174"/>
      <c r="G359" s="174"/>
      <c r="H359" s="174"/>
    </row>
    <row r="360" spans="1:8" ht="14.25" customHeight="1">
      <c r="A360" s="174"/>
      <c r="B360" s="174"/>
      <c r="C360" s="174"/>
      <c r="D360" s="174"/>
      <c r="E360" s="174"/>
      <c r="F360" s="174"/>
      <c r="G360" s="174"/>
      <c r="H360" s="174"/>
    </row>
    <row r="361" spans="1:8" ht="14.25" customHeight="1">
      <c r="A361" s="174"/>
      <c r="B361" s="174"/>
      <c r="C361" s="174"/>
      <c r="D361" s="174"/>
      <c r="E361" s="174"/>
      <c r="F361" s="174"/>
      <c r="G361" s="174"/>
      <c r="H361" s="174"/>
    </row>
    <row r="362" spans="1:8" ht="14.25" customHeight="1">
      <c r="A362" s="174"/>
      <c r="B362" s="174"/>
      <c r="C362" s="174"/>
      <c r="D362" s="174"/>
      <c r="E362" s="174"/>
      <c r="F362" s="174"/>
      <c r="G362" s="174"/>
      <c r="H362" s="174"/>
    </row>
    <row r="363" spans="1:8" ht="14.25" customHeight="1">
      <c r="A363" s="174"/>
      <c r="B363" s="174"/>
      <c r="C363" s="174"/>
      <c r="D363" s="174"/>
      <c r="E363" s="174"/>
      <c r="F363" s="174"/>
      <c r="G363" s="174"/>
      <c r="H363" s="174"/>
    </row>
    <row r="364" spans="1:8" ht="14.25" customHeight="1">
      <c r="A364" s="174"/>
      <c r="B364" s="174"/>
      <c r="C364" s="174"/>
      <c r="D364" s="174"/>
      <c r="E364" s="174"/>
      <c r="F364" s="174"/>
      <c r="G364" s="174"/>
      <c r="H364" s="174"/>
    </row>
    <row r="365" spans="1:8" ht="14.25" customHeight="1">
      <c r="A365" s="174"/>
      <c r="B365" s="174"/>
      <c r="C365" s="174"/>
      <c r="D365" s="174"/>
      <c r="E365" s="174"/>
      <c r="F365" s="174"/>
      <c r="G365" s="174"/>
      <c r="H365" s="174"/>
    </row>
    <row r="366" spans="1:8" ht="14.25" customHeight="1">
      <c r="A366" s="174"/>
      <c r="B366" s="174"/>
      <c r="C366" s="174"/>
      <c r="D366" s="174"/>
      <c r="E366" s="174"/>
      <c r="F366" s="174"/>
      <c r="G366" s="174"/>
      <c r="H366" s="174"/>
    </row>
    <row r="367" spans="1:8" ht="14.25" customHeight="1">
      <c r="A367" s="174"/>
      <c r="B367" s="174"/>
      <c r="C367" s="174"/>
      <c r="D367" s="174"/>
      <c r="E367" s="174"/>
      <c r="F367" s="174"/>
      <c r="G367" s="174"/>
      <c r="H367" s="174"/>
    </row>
    <row r="368" spans="1:8" ht="14.25" customHeight="1">
      <c r="A368" s="174"/>
      <c r="B368" s="174"/>
      <c r="C368" s="174"/>
      <c r="D368" s="174"/>
      <c r="E368" s="174"/>
      <c r="F368" s="174"/>
      <c r="G368" s="174"/>
      <c r="H368" s="174"/>
    </row>
    <row r="369" spans="1:8" ht="14.25" customHeight="1">
      <c r="A369" s="174"/>
      <c r="B369" s="174"/>
      <c r="C369" s="174"/>
      <c r="D369" s="174"/>
      <c r="E369" s="174"/>
      <c r="F369" s="174"/>
      <c r="G369" s="174"/>
      <c r="H369" s="174"/>
    </row>
    <row r="370" spans="1:8" ht="14.25" customHeight="1">
      <c r="A370" s="174"/>
      <c r="B370" s="174"/>
      <c r="C370" s="174"/>
      <c r="D370" s="174"/>
      <c r="E370" s="174"/>
      <c r="F370" s="174"/>
      <c r="G370" s="174"/>
      <c r="H370" s="174"/>
    </row>
    <row r="371" spans="1:8" ht="14.25" customHeight="1">
      <c r="A371" s="174"/>
      <c r="B371" s="174"/>
      <c r="C371" s="174"/>
      <c r="D371" s="174"/>
      <c r="E371" s="174"/>
      <c r="F371" s="174"/>
      <c r="G371" s="174"/>
      <c r="H371" s="174"/>
    </row>
    <row r="372" spans="1:8" ht="14.25" customHeight="1">
      <c r="A372" s="174"/>
      <c r="B372" s="174"/>
      <c r="C372" s="174"/>
      <c r="D372" s="174"/>
      <c r="E372" s="174"/>
      <c r="F372" s="174"/>
      <c r="G372" s="174"/>
      <c r="H372" s="174"/>
    </row>
    <row r="373" spans="1:8" ht="14.25" customHeight="1">
      <c r="A373" s="174"/>
      <c r="B373" s="174"/>
      <c r="C373" s="174"/>
      <c r="D373" s="174"/>
      <c r="E373" s="174"/>
      <c r="F373" s="174"/>
      <c r="G373" s="174"/>
      <c r="H373" s="174"/>
    </row>
    <row r="374" spans="1:8" ht="14.25" customHeight="1">
      <c r="A374" s="174"/>
      <c r="B374" s="174"/>
      <c r="C374" s="174"/>
      <c r="D374" s="174"/>
      <c r="E374" s="174"/>
      <c r="F374" s="174"/>
      <c r="G374" s="174"/>
      <c r="H374" s="174"/>
    </row>
    <row r="375" spans="1:8" ht="14.25" customHeight="1">
      <c r="A375" s="174"/>
      <c r="B375" s="174"/>
      <c r="C375" s="174"/>
      <c r="D375" s="174"/>
      <c r="E375" s="174"/>
      <c r="F375" s="174"/>
      <c r="G375" s="174"/>
      <c r="H375" s="174"/>
    </row>
    <row r="376" spans="1:8" ht="14.25" customHeight="1">
      <c r="A376" s="174"/>
      <c r="B376" s="174"/>
      <c r="C376" s="174"/>
      <c r="D376" s="174"/>
      <c r="E376" s="174"/>
      <c r="F376" s="174"/>
      <c r="G376" s="174"/>
      <c r="H376" s="174"/>
    </row>
    <row r="377" spans="1:8" ht="14.25" customHeight="1">
      <c r="A377" s="174"/>
      <c r="B377" s="174"/>
      <c r="C377" s="174"/>
      <c r="D377" s="174"/>
      <c r="E377" s="174"/>
      <c r="F377" s="174"/>
      <c r="G377" s="174"/>
      <c r="H377" s="174"/>
    </row>
    <row r="378" spans="1:8" ht="14.25" customHeight="1">
      <c r="A378" s="174"/>
      <c r="B378" s="174"/>
      <c r="C378" s="174"/>
      <c r="D378" s="174"/>
      <c r="E378" s="174"/>
      <c r="F378" s="174"/>
      <c r="G378" s="174"/>
      <c r="H378" s="174"/>
    </row>
    <row r="379" spans="1:8" ht="14.25" customHeight="1">
      <c r="A379" s="174"/>
      <c r="B379" s="174"/>
      <c r="C379" s="174"/>
      <c r="D379" s="174"/>
      <c r="E379" s="174"/>
      <c r="F379" s="174"/>
      <c r="G379" s="174"/>
      <c r="H379" s="174"/>
    </row>
    <row r="380" spans="1:8" ht="14.25" customHeight="1">
      <c r="A380" s="174"/>
      <c r="B380" s="174"/>
      <c r="C380" s="174"/>
      <c r="D380" s="174"/>
      <c r="E380" s="174"/>
      <c r="F380" s="174"/>
      <c r="G380" s="174"/>
      <c r="H380" s="174"/>
    </row>
    <row r="381" spans="1:8" ht="14.25" customHeight="1">
      <c r="A381" s="174"/>
      <c r="B381" s="174"/>
      <c r="C381" s="174"/>
      <c r="D381" s="174"/>
      <c r="E381" s="174"/>
      <c r="F381" s="174"/>
      <c r="G381" s="174"/>
      <c r="H381" s="174"/>
    </row>
    <row r="382" spans="1:8" ht="14.25" customHeight="1">
      <c r="A382" s="174"/>
      <c r="B382" s="174"/>
      <c r="C382" s="174"/>
      <c r="D382" s="174"/>
      <c r="E382" s="174"/>
      <c r="F382" s="174"/>
      <c r="G382" s="174"/>
      <c r="H382" s="174"/>
    </row>
    <row r="383" spans="1:8" ht="14.25" customHeight="1">
      <c r="A383" s="174"/>
      <c r="B383" s="174"/>
      <c r="C383" s="174"/>
      <c r="D383" s="174"/>
      <c r="E383" s="174"/>
      <c r="F383" s="174"/>
      <c r="G383" s="174"/>
      <c r="H383" s="174"/>
    </row>
    <row r="384" spans="1:8" ht="14.25" customHeight="1">
      <c r="A384" s="174"/>
      <c r="B384" s="174"/>
      <c r="C384" s="174"/>
      <c r="D384" s="174"/>
      <c r="E384" s="174"/>
      <c r="F384" s="174"/>
      <c r="G384" s="174"/>
      <c r="H384" s="174"/>
    </row>
    <row r="385" spans="1:8" ht="14.25" customHeight="1">
      <c r="A385" s="174"/>
      <c r="B385" s="174"/>
      <c r="C385" s="174"/>
      <c r="D385" s="174"/>
      <c r="E385" s="174"/>
      <c r="F385" s="174"/>
      <c r="G385" s="174"/>
      <c r="H385" s="174"/>
    </row>
    <row r="386" spans="1:8" ht="14.25" customHeight="1">
      <c r="A386" s="174"/>
      <c r="B386" s="174"/>
      <c r="C386" s="174"/>
      <c r="D386" s="174"/>
      <c r="E386" s="174"/>
      <c r="F386" s="174"/>
      <c r="G386" s="174"/>
      <c r="H386" s="174"/>
    </row>
    <row r="387" spans="1:8" ht="14.25" customHeight="1">
      <c r="A387" s="174"/>
      <c r="B387" s="174"/>
      <c r="C387" s="174"/>
      <c r="D387" s="174"/>
      <c r="E387" s="174"/>
      <c r="F387" s="174"/>
      <c r="G387" s="174"/>
      <c r="H387" s="174"/>
    </row>
    <row r="388" spans="1:8" ht="14.25" customHeight="1">
      <c r="A388" s="174"/>
      <c r="B388" s="174"/>
      <c r="C388" s="174"/>
      <c r="D388" s="174"/>
      <c r="E388" s="174"/>
      <c r="F388" s="174"/>
      <c r="G388" s="174"/>
      <c r="H388" s="174"/>
    </row>
    <row r="389" spans="1:8" ht="14.25" customHeight="1">
      <c r="A389" s="174"/>
      <c r="B389" s="174"/>
      <c r="C389" s="174"/>
      <c r="D389" s="174"/>
      <c r="E389" s="174"/>
      <c r="F389" s="174"/>
      <c r="G389" s="174"/>
      <c r="H389" s="174"/>
    </row>
    <row r="390" spans="1:8" ht="14.25" customHeight="1">
      <c r="A390" s="174"/>
      <c r="B390" s="174"/>
      <c r="C390" s="174"/>
      <c r="D390" s="174"/>
      <c r="E390" s="174"/>
      <c r="F390" s="174"/>
      <c r="G390" s="174"/>
      <c r="H390" s="174"/>
    </row>
    <row r="391" spans="1:8" ht="14.25" customHeight="1">
      <c r="A391" s="174"/>
      <c r="B391" s="174"/>
      <c r="C391" s="174"/>
      <c r="D391" s="174"/>
      <c r="E391" s="174"/>
      <c r="F391" s="174"/>
      <c r="G391" s="174"/>
      <c r="H391" s="174"/>
    </row>
    <row r="392" spans="1:8" ht="14.25" customHeight="1">
      <c r="A392" s="174"/>
      <c r="B392" s="174"/>
      <c r="C392" s="174"/>
      <c r="D392" s="174"/>
      <c r="E392" s="174"/>
      <c r="F392" s="174"/>
      <c r="G392" s="174"/>
      <c r="H392" s="174"/>
    </row>
    <row r="393" spans="1:8" ht="14.25" customHeight="1">
      <c r="A393" s="174"/>
      <c r="B393" s="174"/>
      <c r="C393" s="174"/>
      <c r="D393" s="174"/>
      <c r="E393" s="174"/>
      <c r="F393" s="174"/>
      <c r="G393" s="174"/>
      <c r="H393" s="174"/>
    </row>
    <row r="394" spans="1:8" ht="14.25" customHeight="1">
      <c r="A394" s="174"/>
      <c r="B394" s="174"/>
      <c r="C394" s="174"/>
      <c r="D394" s="174"/>
      <c r="E394" s="174"/>
      <c r="F394" s="174"/>
      <c r="G394" s="174"/>
      <c r="H394" s="174"/>
    </row>
    <row r="395" spans="1:8" ht="14.25" customHeight="1">
      <c r="A395" s="174"/>
      <c r="B395" s="174"/>
      <c r="C395" s="174"/>
      <c r="D395" s="174"/>
      <c r="E395" s="174"/>
      <c r="F395" s="174"/>
      <c r="G395" s="174"/>
      <c r="H395" s="174"/>
    </row>
    <row r="396" spans="1:8" ht="14.25" customHeight="1">
      <c r="A396" s="174"/>
      <c r="B396" s="174"/>
      <c r="C396" s="174"/>
      <c r="D396" s="174"/>
      <c r="E396" s="174"/>
      <c r="F396" s="174"/>
      <c r="G396" s="174"/>
      <c r="H396" s="174"/>
    </row>
    <row r="397" spans="1:8" ht="14.25" customHeight="1">
      <c r="A397" s="174"/>
      <c r="B397" s="174"/>
      <c r="C397" s="174"/>
      <c r="D397" s="174"/>
      <c r="E397" s="174"/>
      <c r="F397" s="174"/>
      <c r="G397" s="174"/>
      <c r="H397" s="174"/>
    </row>
    <row r="398" spans="1:8" ht="14.25" customHeight="1">
      <c r="A398" s="174"/>
      <c r="B398" s="174"/>
      <c r="C398" s="174"/>
      <c r="D398" s="174"/>
      <c r="E398" s="174"/>
      <c r="F398" s="174"/>
      <c r="G398" s="174"/>
      <c r="H398" s="174"/>
    </row>
    <row r="399" spans="1:8" ht="14.25" customHeight="1">
      <c r="A399" s="174"/>
      <c r="B399" s="174"/>
      <c r="C399" s="174"/>
      <c r="D399" s="174"/>
      <c r="E399" s="174"/>
      <c r="F399" s="174"/>
      <c r="G399" s="174"/>
      <c r="H399" s="174"/>
    </row>
    <row r="400" spans="1:8" ht="14.25" customHeight="1">
      <c r="A400" s="174"/>
      <c r="B400" s="174"/>
      <c r="C400" s="174"/>
      <c r="D400" s="174"/>
      <c r="E400" s="174"/>
      <c r="F400" s="174"/>
      <c r="G400" s="174"/>
      <c r="H400" s="174"/>
    </row>
    <row r="401" spans="1:8" ht="14.25" customHeight="1">
      <c r="A401" s="174"/>
      <c r="B401" s="174"/>
      <c r="C401" s="174"/>
      <c r="D401" s="174"/>
      <c r="E401" s="174"/>
      <c r="F401" s="174"/>
      <c r="G401" s="174"/>
      <c r="H401" s="174"/>
    </row>
    <row r="402" spans="1:8" ht="14.25" customHeight="1">
      <c r="A402" s="174"/>
      <c r="B402" s="174"/>
      <c r="C402" s="174"/>
      <c r="D402" s="174"/>
      <c r="E402" s="174"/>
      <c r="F402" s="174"/>
      <c r="G402" s="174"/>
      <c r="H402" s="174"/>
    </row>
    <row r="403" spans="1:8" ht="14.25" customHeight="1">
      <c r="A403" s="174"/>
      <c r="B403" s="174"/>
      <c r="C403" s="174"/>
      <c r="D403" s="174"/>
      <c r="E403" s="174"/>
      <c r="F403" s="174"/>
      <c r="G403" s="174"/>
      <c r="H403" s="174"/>
    </row>
    <row r="404" spans="1:8" ht="14.25" customHeight="1">
      <c r="A404" s="174"/>
      <c r="B404" s="174"/>
      <c r="C404" s="174"/>
      <c r="D404" s="174"/>
      <c r="E404" s="174"/>
      <c r="F404" s="174"/>
      <c r="G404" s="174"/>
      <c r="H404" s="174"/>
    </row>
    <row r="405" spans="1:8" ht="14.25" customHeight="1">
      <c r="A405" s="174"/>
      <c r="B405" s="174"/>
      <c r="C405" s="174"/>
      <c r="D405" s="174"/>
      <c r="E405" s="174"/>
      <c r="F405" s="174"/>
      <c r="G405" s="174"/>
      <c r="H405" s="174"/>
    </row>
    <row r="406" spans="1:8" ht="14.25" customHeight="1">
      <c r="A406" s="174"/>
      <c r="B406" s="174"/>
      <c r="C406" s="174"/>
      <c r="D406" s="174"/>
      <c r="E406" s="174"/>
      <c r="F406" s="174"/>
      <c r="G406" s="174"/>
      <c r="H406" s="174"/>
    </row>
    <row r="407" spans="1:8" ht="14.25" customHeight="1">
      <c r="A407" s="174"/>
      <c r="B407" s="174"/>
      <c r="C407" s="174"/>
      <c r="D407" s="174"/>
      <c r="E407" s="174"/>
      <c r="F407" s="174"/>
      <c r="G407" s="174"/>
      <c r="H407" s="174"/>
    </row>
    <row r="408" spans="1:8" ht="14.25" customHeight="1">
      <c r="A408" s="174"/>
      <c r="B408" s="174"/>
      <c r="C408" s="174"/>
      <c r="D408" s="174"/>
      <c r="E408" s="174"/>
      <c r="F408" s="174"/>
      <c r="G408" s="174"/>
      <c r="H408" s="174"/>
    </row>
    <row r="409" spans="1:8" ht="14.25" customHeight="1">
      <c r="A409" s="174"/>
      <c r="B409" s="174"/>
      <c r="C409" s="174"/>
      <c r="D409" s="174"/>
      <c r="E409" s="174"/>
      <c r="F409" s="174"/>
      <c r="G409" s="174"/>
      <c r="H409" s="174"/>
    </row>
    <row r="410" spans="1:8" ht="14.25" customHeight="1">
      <c r="A410" s="174"/>
      <c r="B410" s="174"/>
      <c r="C410" s="174"/>
      <c r="D410" s="174"/>
      <c r="E410" s="174"/>
      <c r="F410" s="174"/>
      <c r="G410" s="174"/>
      <c r="H410" s="174"/>
    </row>
    <row r="411" spans="1:8" ht="14.25" customHeight="1">
      <c r="A411" s="174"/>
      <c r="B411" s="174"/>
      <c r="C411" s="174"/>
      <c r="D411" s="174"/>
      <c r="E411" s="174"/>
      <c r="F411" s="174"/>
      <c r="G411" s="174"/>
      <c r="H411" s="174"/>
    </row>
    <row r="412" spans="1:8" ht="14.25" customHeight="1">
      <c r="A412" s="174"/>
      <c r="B412" s="174"/>
      <c r="C412" s="174"/>
      <c r="D412" s="174"/>
      <c r="E412" s="174"/>
      <c r="F412" s="174"/>
      <c r="G412" s="174"/>
      <c r="H412" s="174"/>
    </row>
    <row r="413" spans="1:8" ht="14.25" customHeight="1">
      <c r="A413" s="174"/>
      <c r="B413" s="174"/>
      <c r="C413" s="174"/>
      <c r="D413" s="174"/>
      <c r="E413" s="174"/>
      <c r="F413" s="174"/>
      <c r="G413" s="174"/>
      <c r="H413" s="174"/>
    </row>
    <row r="414" spans="1:8" ht="14.25" customHeight="1">
      <c r="A414" s="174"/>
      <c r="B414" s="174"/>
      <c r="C414" s="174"/>
      <c r="D414" s="174"/>
      <c r="E414" s="174"/>
      <c r="F414" s="174"/>
      <c r="G414" s="174"/>
      <c r="H414" s="174"/>
    </row>
    <row r="415" spans="1:8" ht="14.25" customHeight="1">
      <c r="A415" s="174"/>
      <c r="B415" s="174"/>
      <c r="C415" s="174"/>
      <c r="D415" s="174"/>
      <c r="E415" s="174"/>
      <c r="F415" s="174"/>
      <c r="G415" s="174"/>
      <c r="H415" s="174"/>
    </row>
    <row r="416" spans="1:8" ht="14.25" customHeight="1">
      <c r="A416" s="174"/>
      <c r="B416" s="174"/>
      <c r="C416" s="174"/>
      <c r="D416" s="174"/>
      <c r="E416" s="174"/>
      <c r="F416" s="174"/>
      <c r="G416" s="174"/>
      <c r="H416" s="174"/>
    </row>
    <row r="417" spans="1:8" ht="14.25" customHeight="1">
      <c r="A417" s="174"/>
      <c r="B417" s="174"/>
      <c r="C417" s="174"/>
      <c r="D417" s="174"/>
      <c r="E417" s="174"/>
      <c r="F417" s="174"/>
      <c r="G417" s="174"/>
      <c r="H417" s="174"/>
    </row>
    <row r="418" spans="1:8" ht="14.25" customHeight="1">
      <c r="A418" s="174"/>
      <c r="B418" s="174"/>
      <c r="C418" s="174"/>
      <c r="D418" s="174"/>
      <c r="E418" s="174"/>
      <c r="F418" s="174"/>
      <c r="G418" s="174"/>
      <c r="H418" s="174"/>
    </row>
    <row r="419" spans="1:8" ht="14.25" customHeight="1">
      <c r="A419" s="174"/>
      <c r="B419" s="174"/>
      <c r="C419" s="174"/>
      <c r="D419" s="174"/>
      <c r="E419" s="174"/>
      <c r="F419" s="174"/>
      <c r="G419" s="174"/>
      <c r="H419" s="174"/>
    </row>
    <row r="420" spans="1:8" ht="14.25" customHeight="1">
      <c r="A420" s="174"/>
      <c r="B420" s="174"/>
      <c r="C420" s="174"/>
      <c r="D420" s="174"/>
      <c r="E420" s="174"/>
      <c r="F420" s="174"/>
      <c r="G420" s="174"/>
      <c r="H420" s="174"/>
    </row>
    <row r="421" spans="1:8" ht="14.25" customHeight="1">
      <c r="A421" s="174"/>
      <c r="B421" s="174"/>
      <c r="C421" s="174"/>
      <c r="D421" s="174"/>
      <c r="E421" s="174"/>
      <c r="F421" s="174"/>
      <c r="G421" s="174"/>
      <c r="H421" s="174"/>
    </row>
    <row r="422" spans="1:8" ht="14.25" customHeight="1">
      <c r="A422" s="174"/>
      <c r="B422" s="174"/>
      <c r="C422" s="174"/>
      <c r="D422" s="174"/>
      <c r="E422" s="174"/>
      <c r="F422" s="174"/>
      <c r="G422" s="174"/>
      <c r="H422" s="174"/>
    </row>
    <row r="423" spans="1:8" ht="14.25" customHeight="1">
      <c r="A423" s="174"/>
      <c r="B423" s="174"/>
      <c r="C423" s="174"/>
      <c r="D423" s="174"/>
      <c r="E423" s="174"/>
      <c r="F423" s="174"/>
      <c r="G423" s="174"/>
      <c r="H423" s="174"/>
    </row>
    <row r="424" spans="1:8" ht="14.25" customHeight="1">
      <c r="A424" s="174"/>
      <c r="B424" s="174"/>
      <c r="C424" s="174"/>
      <c r="D424" s="174"/>
      <c r="E424" s="174"/>
      <c r="F424" s="174"/>
      <c r="G424" s="174"/>
      <c r="H424" s="174"/>
    </row>
    <row r="425" spans="1:8" ht="14.25" customHeight="1">
      <c r="A425" s="174"/>
      <c r="B425" s="174"/>
      <c r="C425" s="174"/>
      <c r="D425" s="174"/>
      <c r="E425" s="174"/>
      <c r="F425" s="174"/>
      <c r="G425" s="174"/>
      <c r="H425" s="174"/>
    </row>
    <row r="426" spans="1:8" ht="14.25" customHeight="1">
      <c r="A426" s="174"/>
      <c r="B426" s="174"/>
      <c r="C426" s="174"/>
      <c r="D426" s="174"/>
      <c r="E426" s="174"/>
      <c r="F426" s="174"/>
      <c r="G426" s="174"/>
      <c r="H426" s="174"/>
    </row>
    <row r="427" spans="1:8" ht="14.25" customHeight="1">
      <c r="A427" s="174"/>
      <c r="B427" s="174"/>
      <c r="C427" s="174"/>
      <c r="D427" s="174"/>
      <c r="E427" s="174"/>
      <c r="F427" s="174"/>
      <c r="G427" s="174"/>
      <c r="H427" s="174"/>
    </row>
    <row r="428" spans="1:8" ht="14.25" customHeight="1">
      <c r="A428" s="174"/>
      <c r="B428" s="174"/>
      <c r="C428" s="174"/>
      <c r="D428" s="174"/>
      <c r="E428" s="174"/>
      <c r="F428" s="174"/>
      <c r="G428" s="174"/>
      <c r="H428" s="174"/>
    </row>
    <row r="429" spans="1:8" ht="14.25" customHeight="1">
      <c r="A429" s="174"/>
      <c r="B429" s="174"/>
      <c r="C429" s="174"/>
      <c r="D429" s="174"/>
      <c r="E429" s="174"/>
      <c r="F429" s="174"/>
      <c r="G429" s="174"/>
      <c r="H429" s="174"/>
    </row>
    <row r="430" spans="1:8" ht="14.25" customHeight="1">
      <c r="A430" s="174"/>
      <c r="B430" s="174"/>
      <c r="C430" s="174"/>
      <c r="D430" s="174"/>
      <c r="E430" s="174"/>
      <c r="F430" s="174"/>
      <c r="G430" s="174"/>
      <c r="H430" s="174"/>
    </row>
    <row r="431" spans="1:8" ht="14.25" customHeight="1">
      <c r="A431" s="174"/>
      <c r="B431" s="174"/>
      <c r="C431" s="174"/>
      <c r="D431" s="174"/>
      <c r="E431" s="174"/>
      <c r="F431" s="174"/>
      <c r="G431" s="174"/>
      <c r="H431" s="174"/>
    </row>
    <row r="432" spans="1:8" ht="14.25" customHeight="1">
      <c r="A432" s="174"/>
      <c r="B432" s="174"/>
      <c r="C432" s="174"/>
      <c r="D432" s="174"/>
      <c r="E432" s="174"/>
      <c r="F432" s="174"/>
      <c r="G432" s="174"/>
      <c r="H432" s="174"/>
    </row>
    <row r="433" spans="1:8" ht="14.25" customHeight="1">
      <c r="A433" s="174"/>
      <c r="B433" s="174"/>
      <c r="C433" s="174"/>
      <c r="D433" s="174"/>
      <c r="E433" s="174"/>
      <c r="F433" s="174"/>
      <c r="G433" s="174"/>
      <c r="H433" s="174"/>
    </row>
    <row r="434" spans="1:8" ht="14.25" customHeight="1">
      <c r="A434" s="174"/>
      <c r="B434" s="174"/>
      <c r="C434" s="174"/>
      <c r="D434" s="174"/>
      <c r="E434" s="174"/>
      <c r="F434" s="174"/>
      <c r="G434" s="174"/>
      <c r="H434" s="174"/>
    </row>
    <row r="435" spans="1:8" ht="14.25" customHeight="1">
      <c r="A435" s="174"/>
      <c r="B435" s="174"/>
      <c r="C435" s="174"/>
      <c r="D435" s="174"/>
      <c r="E435" s="174"/>
      <c r="F435" s="174"/>
      <c r="G435" s="174"/>
      <c r="H435" s="174"/>
    </row>
    <row r="436" spans="1:8" ht="14.25" customHeight="1">
      <c r="A436" s="174"/>
      <c r="B436" s="174"/>
      <c r="C436" s="174"/>
      <c r="D436" s="174"/>
      <c r="E436" s="174"/>
      <c r="F436" s="174"/>
      <c r="G436" s="174"/>
      <c r="H436" s="174"/>
    </row>
    <row r="437" spans="1:8" ht="14.25" customHeight="1">
      <c r="A437" s="174"/>
      <c r="B437" s="174"/>
      <c r="C437" s="174"/>
      <c r="D437" s="174"/>
      <c r="E437" s="174"/>
      <c r="F437" s="174"/>
      <c r="G437" s="174"/>
      <c r="H437" s="174"/>
    </row>
    <row r="438" spans="1:8" ht="14.25" customHeight="1">
      <c r="A438" s="174"/>
      <c r="B438" s="174"/>
      <c r="C438" s="174"/>
      <c r="D438" s="174"/>
      <c r="E438" s="174"/>
      <c r="F438" s="174"/>
      <c r="G438" s="174"/>
      <c r="H438" s="174"/>
    </row>
    <row r="439" spans="1:8" ht="14.25" customHeight="1">
      <c r="A439" s="174"/>
      <c r="B439" s="174"/>
      <c r="C439" s="174"/>
      <c r="D439" s="174"/>
      <c r="E439" s="174"/>
      <c r="F439" s="174"/>
      <c r="G439" s="174"/>
      <c r="H439" s="174"/>
    </row>
    <row r="440" spans="1:8" ht="14.25" customHeight="1">
      <c r="A440" s="174"/>
      <c r="B440" s="174"/>
      <c r="C440" s="174"/>
      <c r="D440" s="174"/>
      <c r="E440" s="174"/>
      <c r="F440" s="174"/>
      <c r="G440" s="174"/>
      <c r="H440" s="174"/>
    </row>
    <row r="441" spans="1:8" ht="14.25" customHeight="1">
      <c r="A441" s="174"/>
      <c r="B441" s="174"/>
      <c r="C441" s="174"/>
      <c r="D441" s="174"/>
      <c r="E441" s="174"/>
      <c r="F441" s="174"/>
      <c r="G441" s="174"/>
      <c r="H441" s="174"/>
    </row>
    <row r="442" spans="1:8" ht="14.25" customHeight="1">
      <c r="A442" s="174"/>
      <c r="B442" s="174"/>
      <c r="C442" s="174"/>
      <c r="D442" s="174"/>
      <c r="E442" s="174"/>
      <c r="F442" s="174"/>
      <c r="G442" s="174"/>
      <c r="H442" s="174"/>
    </row>
    <row r="443" spans="1:8" ht="14.25" customHeight="1">
      <c r="A443" s="174"/>
      <c r="B443" s="174"/>
      <c r="C443" s="174"/>
      <c r="D443" s="174"/>
      <c r="E443" s="174"/>
      <c r="F443" s="174"/>
      <c r="G443" s="174"/>
      <c r="H443" s="174"/>
    </row>
    <row r="444" spans="1:8" ht="14.25" customHeight="1">
      <c r="A444" s="174"/>
      <c r="B444" s="174"/>
      <c r="C444" s="174"/>
      <c r="D444" s="174"/>
      <c r="E444" s="174"/>
      <c r="F444" s="174"/>
      <c r="G444" s="174"/>
      <c r="H444" s="174"/>
    </row>
    <row r="445" spans="1:8" ht="14.25" customHeight="1">
      <c r="A445" s="174"/>
      <c r="B445" s="174"/>
      <c r="C445" s="174"/>
      <c r="D445" s="174"/>
      <c r="E445" s="174"/>
      <c r="F445" s="174"/>
      <c r="G445" s="174"/>
      <c r="H445" s="174"/>
    </row>
    <row r="446" spans="1:8" ht="14.25" customHeight="1">
      <c r="A446" s="174"/>
      <c r="B446" s="174"/>
      <c r="C446" s="174"/>
      <c r="D446" s="174"/>
      <c r="E446" s="174"/>
      <c r="F446" s="174"/>
      <c r="G446" s="174"/>
      <c r="H446" s="174"/>
    </row>
    <row r="447" spans="1:8" ht="14.25" customHeight="1">
      <c r="A447" s="174"/>
      <c r="B447" s="174"/>
      <c r="C447" s="174"/>
      <c r="D447" s="174"/>
      <c r="E447" s="174"/>
      <c r="F447" s="174"/>
      <c r="G447" s="174"/>
      <c r="H447" s="174"/>
    </row>
    <row r="448" spans="1:8" ht="14.25" customHeight="1">
      <c r="A448" s="174"/>
      <c r="B448" s="174"/>
      <c r="C448" s="174"/>
      <c r="D448" s="174"/>
      <c r="E448" s="174"/>
      <c r="F448" s="174"/>
      <c r="G448" s="174"/>
      <c r="H448" s="174"/>
    </row>
    <row r="449" spans="1:8" ht="14.25" customHeight="1">
      <c r="A449" s="174"/>
      <c r="B449" s="174"/>
      <c r="C449" s="174"/>
      <c r="D449" s="174"/>
      <c r="E449" s="174"/>
      <c r="F449" s="174"/>
      <c r="G449" s="174"/>
      <c r="H449" s="174"/>
    </row>
    <row r="450" spans="1:8" ht="14.25" customHeight="1">
      <c r="A450" s="174"/>
      <c r="B450" s="174"/>
      <c r="C450" s="174"/>
      <c r="D450" s="174"/>
      <c r="E450" s="174"/>
      <c r="F450" s="174"/>
      <c r="G450" s="174"/>
      <c r="H450" s="174"/>
    </row>
    <row r="451" spans="1:8" ht="14.25" customHeight="1">
      <c r="A451" s="174"/>
      <c r="B451" s="174"/>
      <c r="C451" s="174"/>
      <c r="D451" s="174"/>
      <c r="E451" s="174"/>
      <c r="F451" s="174"/>
      <c r="G451" s="174"/>
      <c r="H451" s="174"/>
    </row>
    <row r="452" spans="1:8" ht="14.25" customHeight="1">
      <c r="A452" s="174"/>
      <c r="B452" s="174"/>
      <c r="C452" s="174"/>
      <c r="D452" s="174"/>
      <c r="E452" s="174"/>
      <c r="F452" s="174"/>
      <c r="G452" s="174"/>
      <c r="H452" s="174"/>
    </row>
    <row r="453" spans="1:8" ht="14.25" customHeight="1">
      <c r="A453" s="174"/>
      <c r="B453" s="174"/>
      <c r="C453" s="174"/>
      <c r="D453" s="174"/>
      <c r="E453" s="174"/>
      <c r="F453" s="174"/>
      <c r="G453" s="174"/>
      <c r="H453" s="174"/>
    </row>
    <row r="454" spans="1:8" ht="14.25" customHeight="1">
      <c r="A454" s="174"/>
      <c r="B454" s="174"/>
      <c r="C454" s="174"/>
      <c r="D454" s="174"/>
      <c r="E454" s="174"/>
      <c r="F454" s="174"/>
      <c r="G454" s="174"/>
      <c r="H454" s="174"/>
    </row>
    <row r="455" spans="1:8" ht="14.25" customHeight="1">
      <c r="A455" s="174"/>
      <c r="B455" s="174"/>
      <c r="C455" s="174"/>
      <c r="D455" s="174"/>
      <c r="E455" s="174"/>
      <c r="F455" s="174"/>
      <c r="G455" s="174"/>
      <c r="H455" s="174"/>
    </row>
    <row r="456" spans="1:8" ht="14.25" customHeight="1">
      <c r="A456" s="174"/>
      <c r="B456" s="174"/>
      <c r="C456" s="174"/>
      <c r="D456" s="174"/>
      <c r="E456" s="174"/>
      <c r="F456" s="174"/>
      <c r="G456" s="174"/>
      <c r="H456" s="174"/>
    </row>
    <row r="457" spans="1:8" ht="14.25" customHeight="1">
      <c r="A457" s="174"/>
      <c r="B457" s="174"/>
      <c r="C457" s="174"/>
      <c r="D457" s="174"/>
      <c r="E457" s="174"/>
      <c r="F457" s="174"/>
      <c r="G457" s="174"/>
      <c r="H457" s="174"/>
    </row>
    <row r="458" spans="1:8" ht="14.25" customHeight="1">
      <c r="A458" s="174"/>
      <c r="B458" s="174"/>
      <c r="C458" s="174"/>
      <c r="D458" s="174"/>
      <c r="E458" s="174"/>
      <c r="F458" s="174"/>
      <c r="G458" s="174"/>
      <c r="H458" s="174"/>
    </row>
    <row r="459" spans="1:8" ht="14.25" customHeight="1">
      <c r="A459" s="174"/>
      <c r="B459" s="174"/>
      <c r="C459" s="174"/>
      <c r="D459" s="174"/>
      <c r="E459" s="174"/>
      <c r="F459" s="174"/>
      <c r="G459" s="174"/>
      <c r="H459" s="174"/>
    </row>
    <row r="460" spans="1:8" ht="14.25" customHeight="1">
      <c r="A460" s="174"/>
      <c r="B460" s="174"/>
      <c r="C460" s="174"/>
      <c r="D460" s="174"/>
      <c r="E460" s="174"/>
      <c r="F460" s="174"/>
      <c r="G460" s="174"/>
      <c r="H460" s="174"/>
    </row>
    <row r="461" spans="1:8" ht="14.25" customHeight="1">
      <c r="A461" s="174"/>
      <c r="B461" s="174"/>
      <c r="C461" s="174"/>
      <c r="D461" s="174"/>
      <c r="E461" s="174"/>
      <c r="F461" s="174"/>
      <c r="G461" s="174"/>
      <c r="H461" s="174"/>
    </row>
    <row r="462" spans="1:8" ht="14.25" customHeight="1">
      <c r="A462" s="174"/>
      <c r="B462" s="174"/>
      <c r="C462" s="174"/>
      <c r="D462" s="174"/>
      <c r="E462" s="174"/>
      <c r="F462" s="174"/>
      <c r="G462" s="174"/>
      <c r="H462" s="174"/>
    </row>
    <row r="463" spans="1:8" ht="14.25" customHeight="1">
      <c r="A463" s="174"/>
      <c r="B463" s="174"/>
      <c r="C463" s="174"/>
      <c r="D463" s="174"/>
      <c r="E463" s="174"/>
      <c r="F463" s="174"/>
      <c r="G463" s="174"/>
      <c r="H463" s="174"/>
    </row>
    <row r="464" spans="1:8" ht="14.25" customHeight="1">
      <c r="A464" s="174"/>
      <c r="B464" s="174"/>
      <c r="C464" s="174"/>
      <c r="D464" s="174"/>
      <c r="E464" s="174"/>
      <c r="F464" s="174"/>
      <c r="G464" s="174"/>
      <c r="H464" s="174"/>
    </row>
    <row r="465" spans="1:8" ht="14.25" customHeight="1">
      <c r="A465" s="174"/>
      <c r="B465" s="174"/>
      <c r="C465" s="174"/>
      <c r="D465" s="174"/>
      <c r="E465" s="174"/>
      <c r="F465" s="174"/>
      <c r="G465" s="174"/>
      <c r="H465" s="174"/>
    </row>
    <row r="466" spans="1:8" ht="14.25" customHeight="1">
      <c r="A466" s="174"/>
      <c r="B466" s="174"/>
      <c r="C466" s="174"/>
      <c r="D466" s="174"/>
      <c r="E466" s="174"/>
      <c r="F466" s="174"/>
      <c r="G466" s="174"/>
      <c r="H466" s="174"/>
    </row>
    <row r="467" spans="1:8" ht="14.25" customHeight="1">
      <c r="A467" s="174"/>
      <c r="B467" s="174"/>
      <c r="C467" s="174"/>
      <c r="D467" s="174"/>
      <c r="E467" s="174"/>
      <c r="F467" s="174"/>
      <c r="G467" s="174"/>
      <c r="H467" s="174"/>
    </row>
    <row r="468" spans="1:8" ht="14.25" customHeight="1">
      <c r="A468" s="174"/>
      <c r="B468" s="174"/>
      <c r="C468" s="174"/>
      <c r="D468" s="174"/>
      <c r="E468" s="174"/>
      <c r="F468" s="174"/>
      <c r="G468" s="174"/>
      <c r="H468" s="174"/>
    </row>
    <row r="469" spans="1:8" ht="14.25" customHeight="1">
      <c r="A469" s="174"/>
      <c r="B469" s="174"/>
      <c r="C469" s="174"/>
      <c r="D469" s="174"/>
      <c r="E469" s="174"/>
      <c r="F469" s="174"/>
      <c r="G469" s="174"/>
      <c r="H469" s="174"/>
    </row>
    <row r="470" spans="1:8" ht="14.25" customHeight="1">
      <c r="A470" s="174"/>
      <c r="B470" s="174"/>
      <c r="C470" s="174"/>
      <c r="D470" s="174"/>
      <c r="E470" s="174"/>
      <c r="F470" s="174"/>
      <c r="G470" s="174"/>
      <c r="H470" s="174"/>
    </row>
    <row r="471" spans="1:8" ht="14.25" customHeight="1">
      <c r="A471" s="174"/>
      <c r="B471" s="174"/>
      <c r="C471" s="174"/>
      <c r="D471" s="174"/>
      <c r="E471" s="174"/>
      <c r="F471" s="174"/>
      <c r="G471" s="174"/>
      <c r="H471" s="174"/>
    </row>
    <row r="472" spans="1:8" ht="14.25" customHeight="1">
      <c r="A472" s="174"/>
      <c r="B472" s="174"/>
      <c r="C472" s="174"/>
      <c r="D472" s="174"/>
      <c r="E472" s="174"/>
      <c r="F472" s="174"/>
      <c r="G472" s="174"/>
      <c r="H472" s="174"/>
    </row>
    <row r="473" spans="1:8" ht="14.25" customHeight="1">
      <c r="A473" s="174"/>
      <c r="B473" s="174"/>
      <c r="C473" s="174"/>
      <c r="D473" s="174"/>
      <c r="E473" s="174"/>
      <c r="F473" s="174"/>
      <c r="G473" s="174"/>
      <c r="H473" s="174"/>
    </row>
    <row r="474" spans="1:8" ht="14.25" customHeight="1">
      <c r="A474" s="174"/>
      <c r="B474" s="174"/>
      <c r="C474" s="174"/>
      <c r="D474" s="174"/>
      <c r="E474" s="174"/>
      <c r="F474" s="174"/>
      <c r="G474" s="174"/>
      <c r="H474" s="174"/>
    </row>
    <row r="475" spans="1:8" ht="14.25" customHeight="1">
      <c r="A475" s="174"/>
      <c r="B475" s="174"/>
      <c r="C475" s="174"/>
      <c r="D475" s="174"/>
      <c r="E475" s="174"/>
      <c r="F475" s="174"/>
      <c r="G475" s="174"/>
      <c r="H475" s="174"/>
    </row>
    <row r="476" spans="1:8" ht="14.25" customHeight="1">
      <c r="A476" s="174"/>
      <c r="B476" s="174"/>
      <c r="C476" s="174"/>
      <c r="D476" s="174"/>
      <c r="E476" s="174"/>
      <c r="F476" s="174"/>
      <c r="G476" s="174"/>
      <c r="H476" s="174"/>
    </row>
    <row r="477" spans="1:8" ht="14.25" customHeight="1">
      <c r="A477" s="174"/>
      <c r="B477" s="174"/>
      <c r="C477" s="174"/>
      <c r="D477" s="174"/>
      <c r="E477" s="174"/>
      <c r="F477" s="174"/>
      <c r="G477" s="174"/>
      <c r="H477" s="174"/>
    </row>
    <row r="478" spans="1:8" ht="14.25" customHeight="1">
      <c r="A478" s="174"/>
      <c r="B478" s="174"/>
      <c r="C478" s="174"/>
      <c r="D478" s="174"/>
      <c r="E478" s="174"/>
      <c r="F478" s="174"/>
      <c r="G478" s="174"/>
      <c r="H478" s="174"/>
    </row>
    <row r="479" spans="1:8" ht="14.25" customHeight="1">
      <c r="A479" s="174"/>
      <c r="B479" s="174"/>
      <c r="C479" s="174"/>
      <c r="D479" s="174"/>
      <c r="E479" s="174"/>
      <c r="F479" s="174"/>
      <c r="G479" s="174"/>
      <c r="H479" s="174"/>
    </row>
    <row r="480" spans="1:8" ht="14.25" customHeight="1">
      <c r="A480" s="174"/>
      <c r="B480" s="174"/>
      <c r="C480" s="174"/>
      <c r="D480" s="174"/>
      <c r="E480" s="174"/>
      <c r="F480" s="174"/>
      <c r="G480" s="174"/>
      <c r="H480" s="174"/>
    </row>
    <row r="481" spans="1:8" ht="14.25" customHeight="1">
      <c r="A481" s="174"/>
      <c r="B481" s="174"/>
      <c r="C481" s="174"/>
      <c r="D481" s="174"/>
      <c r="E481" s="174"/>
      <c r="F481" s="174"/>
      <c r="G481" s="174"/>
      <c r="H481" s="174"/>
    </row>
    <row r="482" spans="1:8" ht="14.25" customHeight="1">
      <c r="A482" s="174"/>
      <c r="B482" s="174"/>
      <c r="C482" s="174"/>
      <c r="D482" s="174"/>
      <c r="E482" s="174"/>
      <c r="F482" s="174"/>
      <c r="G482" s="174"/>
      <c r="H482" s="174"/>
    </row>
    <row r="483" spans="1:8" ht="14.25" customHeight="1">
      <c r="A483" s="174"/>
      <c r="B483" s="174"/>
      <c r="C483" s="174"/>
      <c r="D483" s="174"/>
      <c r="E483" s="174"/>
      <c r="F483" s="174"/>
      <c r="G483" s="174"/>
      <c r="H483" s="174"/>
    </row>
    <row r="484" spans="1:8" ht="14.25" customHeight="1">
      <c r="A484" s="174"/>
      <c r="B484" s="174"/>
      <c r="C484" s="174"/>
      <c r="D484" s="174"/>
      <c r="E484" s="174"/>
      <c r="F484" s="174"/>
      <c r="G484" s="174"/>
      <c r="H484" s="174"/>
    </row>
    <row r="485" spans="1:8" ht="14.25" customHeight="1">
      <c r="A485" s="174"/>
      <c r="B485" s="174"/>
      <c r="C485" s="174"/>
      <c r="D485" s="174"/>
      <c r="E485" s="174"/>
      <c r="F485" s="174"/>
      <c r="G485" s="174"/>
      <c r="H485" s="174"/>
    </row>
    <row r="486" spans="1:8" ht="14.25" customHeight="1">
      <c r="A486" s="174"/>
      <c r="B486" s="174"/>
      <c r="C486" s="174"/>
      <c r="D486" s="174"/>
      <c r="E486" s="174"/>
      <c r="F486" s="174"/>
      <c r="G486" s="174"/>
      <c r="H486" s="174"/>
    </row>
    <row r="487" spans="1:8" ht="14.25" customHeight="1">
      <c r="A487" s="174"/>
      <c r="B487" s="174"/>
      <c r="C487" s="174"/>
      <c r="D487" s="174"/>
      <c r="E487" s="174"/>
      <c r="F487" s="174"/>
      <c r="G487" s="174"/>
      <c r="H487" s="174"/>
    </row>
    <row r="488" spans="1:8" ht="14.25" customHeight="1">
      <c r="A488" s="174"/>
      <c r="B488" s="174"/>
      <c r="C488" s="174"/>
      <c r="D488" s="174"/>
      <c r="E488" s="174"/>
      <c r="F488" s="174"/>
      <c r="G488" s="174"/>
      <c r="H488" s="174"/>
    </row>
    <row r="489" spans="1:8" ht="14.25" customHeight="1">
      <c r="A489" s="174"/>
      <c r="B489" s="174"/>
      <c r="C489" s="174"/>
      <c r="D489" s="174"/>
      <c r="E489" s="174"/>
      <c r="F489" s="174"/>
      <c r="G489" s="174"/>
      <c r="H489" s="174"/>
    </row>
    <row r="490" spans="1:8" ht="14.25" customHeight="1">
      <c r="A490" s="174"/>
      <c r="B490" s="174"/>
      <c r="C490" s="174"/>
      <c r="D490" s="174"/>
      <c r="E490" s="174"/>
      <c r="F490" s="174"/>
      <c r="G490" s="174"/>
      <c r="H490" s="174"/>
    </row>
    <row r="491" spans="1:8" ht="14.25" customHeight="1">
      <c r="A491" s="174"/>
      <c r="B491" s="174"/>
      <c r="C491" s="174"/>
      <c r="D491" s="174"/>
      <c r="E491" s="174"/>
      <c r="F491" s="174"/>
      <c r="G491" s="174"/>
      <c r="H491" s="174"/>
    </row>
    <row r="492" spans="1:8" ht="14.25" customHeight="1">
      <c r="A492" s="174"/>
      <c r="B492" s="174"/>
      <c r="C492" s="174"/>
      <c r="D492" s="174"/>
      <c r="E492" s="174"/>
      <c r="F492" s="174"/>
      <c r="G492" s="174"/>
      <c r="H492" s="174"/>
    </row>
    <row r="493" spans="1:8" ht="14.25" customHeight="1">
      <c r="A493" s="174"/>
      <c r="B493" s="174"/>
      <c r="C493" s="174"/>
      <c r="D493" s="174"/>
      <c r="E493" s="174"/>
      <c r="F493" s="174"/>
      <c r="G493" s="174"/>
      <c r="H493" s="174"/>
    </row>
    <row r="494" spans="1:8" ht="14.25" customHeight="1">
      <c r="A494" s="174"/>
      <c r="B494" s="174"/>
      <c r="C494" s="174"/>
      <c r="D494" s="174"/>
      <c r="E494" s="174"/>
      <c r="F494" s="174"/>
      <c r="G494" s="174"/>
      <c r="H494" s="174"/>
    </row>
    <row r="495" spans="1:8" ht="14.25" customHeight="1">
      <c r="A495" s="174"/>
      <c r="B495" s="174"/>
      <c r="C495" s="174"/>
      <c r="D495" s="174"/>
      <c r="E495" s="174"/>
      <c r="F495" s="174"/>
      <c r="G495" s="174"/>
      <c r="H495" s="174"/>
    </row>
    <row r="496" spans="1:8" ht="14.25" customHeight="1">
      <c r="A496" s="174"/>
      <c r="B496" s="174"/>
      <c r="C496" s="174"/>
      <c r="D496" s="174"/>
      <c r="E496" s="174"/>
      <c r="F496" s="174"/>
      <c r="G496" s="174"/>
      <c r="H496" s="174"/>
    </row>
    <row r="497" spans="1:8" ht="14.25" customHeight="1">
      <c r="A497" s="174"/>
      <c r="B497" s="174"/>
      <c r="C497" s="174"/>
      <c r="D497" s="174"/>
      <c r="E497" s="174"/>
      <c r="F497" s="174"/>
      <c r="G497" s="174"/>
      <c r="H497" s="174"/>
    </row>
    <row r="498" spans="1:8" ht="14.25" customHeight="1">
      <c r="A498" s="174"/>
      <c r="B498" s="174"/>
      <c r="C498" s="174"/>
      <c r="D498" s="174"/>
      <c r="E498" s="174"/>
      <c r="F498" s="174"/>
      <c r="G498" s="174"/>
      <c r="H498" s="174"/>
    </row>
    <row r="499" spans="1:8" ht="14.25" customHeight="1">
      <c r="A499" s="174"/>
      <c r="B499" s="174"/>
      <c r="C499" s="174"/>
      <c r="D499" s="174"/>
      <c r="E499" s="174"/>
      <c r="F499" s="174"/>
      <c r="G499" s="174"/>
      <c r="H499" s="174"/>
    </row>
    <row r="500" spans="1:8" ht="14.25" customHeight="1">
      <c r="A500" s="174"/>
      <c r="B500" s="174"/>
      <c r="C500" s="174"/>
      <c r="D500" s="174"/>
      <c r="E500" s="174"/>
      <c r="F500" s="174"/>
      <c r="G500" s="174"/>
      <c r="H500" s="174"/>
    </row>
    <row r="501" spans="1:8" ht="14.25" customHeight="1">
      <c r="A501" s="174"/>
      <c r="B501" s="174"/>
      <c r="C501" s="174"/>
      <c r="D501" s="174"/>
      <c r="E501" s="174"/>
      <c r="F501" s="174"/>
      <c r="G501" s="174"/>
      <c r="H501" s="174"/>
    </row>
    <row r="502" spans="1:8" ht="14.25" customHeight="1">
      <c r="A502" s="174"/>
      <c r="B502" s="174"/>
      <c r="C502" s="174"/>
      <c r="D502" s="174"/>
      <c r="E502" s="174"/>
      <c r="F502" s="174"/>
      <c r="G502" s="174"/>
      <c r="H502" s="174"/>
    </row>
    <row r="503" spans="1:8" ht="14.25" customHeight="1">
      <c r="A503" s="174"/>
      <c r="B503" s="174"/>
      <c r="C503" s="174"/>
      <c r="D503" s="174"/>
      <c r="E503" s="174"/>
      <c r="F503" s="174"/>
      <c r="G503" s="174"/>
      <c r="H503" s="174"/>
    </row>
    <row r="504" spans="1:8" ht="14.25" customHeight="1">
      <c r="A504" s="174"/>
      <c r="B504" s="174"/>
      <c r="C504" s="174"/>
      <c r="D504" s="174"/>
      <c r="E504" s="174"/>
      <c r="F504" s="174"/>
      <c r="G504" s="174"/>
      <c r="H504" s="174"/>
    </row>
    <row r="505" spans="1:8" ht="14.25" customHeight="1">
      <c r="A505" s="174"/>
      <c r="B505" s="174"/>
      <c r="C505" s="174"/>
      <c r="D505" s="174"/>
      <c r="E505" s="174"/>
      <c r="F505" s="174"/>
      <c r="G505" s="174"/>
      <c r="H505" s="174"/>
    </row>
    <row r="506" spans="1:8" ht="14.25" customHeight="1">
      <c r="A506" s="174"/>
      <c r="B506" s="174"/>
      <c r="C506" s="174"/>
      <c r="D506" s="174"/>
      <c r="E506" s="174"/>
      <c r="F506" s="174"/>
      <c r="G506" s="174"/>
      <c r="H506" s="174"/>
    </row>
    <row r="507" spans="1:8" ht="14.25" customHeight="1">
      <c r="A507" s="174"/>
      <c r="B507" s="174"/>
      <c r="C507" s="174"/>
      <c r="D507" s="174"/>
      <c r="E507" s="174"/>
      <c r="F507" s="174"/>
      <c r="G507" s="174"/>
      <c r="H507" s="174"/>
    </row>
    <row r="508" spans="1:8" ht="14.25" customHeight="1">
      <c r="A508" s="174"/>
      <c r="B508" s="174"/>
      <c r="C508" s="174"/>
      <c r="D508" s="174"/>
      <c r="E508" s="174"/>
      <c r="F508" s="174"/>
      <c r="G508" s="174"/>
      <c r="H508" s="174"/>
    </row>
    <row r="509" spans="1:8" ht="14.25" customHeight="1">
      <c r="A509" s="174"/>
      <c r="B509" s="174"/>
      <c r="C509" s="174"/>
      <c r="D509" s="174"/>
      <c r="E509" s="174"/>
      <c r="F509" s="174"/>
      <c r="G509" s="174"/>
      <c r="H509" s="174"/>
    </row>
    <row r="510" spans="1:8" ht="14.25" customHeight="1">
      <c r="A510" s="174"/>
      <c r="B510" s="174"/>
      <c r="C510" s="174"/>
      <c r="D510" s="174"/>
      <c r="E510" s="174"/>
      <c r="F510" s="174"/>
      <c r="G510" s="174"/>
      <c r="H510" s="174"/>
    </row>
    <row r="511" spans="1:8" ht="14.25" customHeight="1">
      <c r="A511" s="174"/>
      <c r="B511" s="174"/>
      <c r="C511" s="174"/>
      <c r="D511" s="174"/>
      <c r="E511" s="174"/>
      <c r="F511" s="174"/>
      <c r="G511" s="174"/>
      <c r="H511" s="174"/>
    </row>
    <row r="512" spans="1:8" ht="14.25" customHeight="1">
      <c r="A512" s="174"/>
      <c r="B512" s="174"/>
      <c r="C512" s="174"/>
      <c r="D512" s="174"/>
      <c r="E512" s="174"/>
      <c r="F512" s="174"/>
      <c r="G512" s="174"/>
      <c r="H512" s="174"/>
    </row>
    <row r="513" spans="1:8" ht="14.25" customHeight="1">
      <c r="A513" s="174"/>
      <c r="B513" s="174"/>
      <c r="C513" s="174"/>
      <c r="D513" s="174"/>
      <c r="E513" s="174"/>
      <c r="F513" s="174"/>
      <c r="G513" s="174"/>
      <c r="H513" s="174"/>
    </row>
    <row r="514" spans="1:8" ht="14.25" customHeight="1">
      <c r="A514" s="174"/>
      <c r="B514" s="174"/>
      <c r="C514" s="174"/>
      <c r="D514" s="174"/>
      <c r="E514" s="174"/>
      <c r="F514" s="174"/>
      <c r="G514" s="174"/>
      <c r="H514" s="174"/>
    </row>
    <row r="515" spans="1:8" ht="14.25" customHeight="1">
      <c r="A515" s="174"/>
      <c r="B515" s="174"/>
      <c r="C515" s="174"/>
      <c r="D515" s="174"/>
      <c r="E515" s="174"/>
      <c r="F515" s="174"/>
      <c r="G515" s="174"/>
      <c r="H515" s="174"/>
    </row>
    <row r="516" spans="1:8" ht="14.25" customHeight="1">
      <c r="A516" s="174"/>
      <c r="B516" s="174"/>
      <c r="C516" s="174"/>
      <c r="D516" s="174"/>
      <c r="E516" s="174"/>
      <c r="F516" s="174"/>
      <c r="G516" s="174"/>
      <c r="H516" s="174"/>
    </row>
    <row r="517" spans="1:8" ht="14.25" customHeight="1">
      <c r="A517" s="174"/>
      <c r="B517" s="174"/>
      <c r="C517" s="174"/>
      <c r="D517" s="174"/>
      <c r="E517" s="174"/>
      <c r="F517" s="174"/>
      <c r="G517" s="174"/>
      <c r="H517" s="174"/>
    </row>
    <row r="518" spans="1:8" ht="14.25" customHeight="1">
      <c r="A518" s="174"/>
      <c r="B518" s="174"/>
      <c r="C518" s="174"/>
      <c r="D518" s="174"/>
      <c r="E518" s="174"/>
      <c r="F518" s="174"/>
      <c r="G518" s="174"/>
      <c r="H518" s="174"/>
    </row>
    <row r="519" spans="1:8" ht="14.25" customHeight="1">
      <c r="A519" s="174"/>
      <c r="B519" s="174"/>
      <c r="C519" s="174"/>
      <c r="D519" s="174"/>
      <c r="E519" s="174"/>
      <c r="F519" s="174"/>
      <c r="G519" s="174"/>
      <c r="H519" s="174"/>
    </row>
    <row r="520" spans="1:8" ht="14.25" customHeight="1">
      <c r="A520" s="174"/>
      <c r="B520" s="174"/>
      <c r="C520" s="174"/>
      <c r="D520" s="174"/>
      <c r="E520" s="174"/>
      <c r="F520" s="174"/>
      <c r="G520" s="174"/>
      <c r="H520" s="174"/>
    </row>
    <row r="521" spans="1:8" ht="14.25" customHeight="1">
      <c r="A521" s="174"/>
      <c r="B521" s="174"/>
      <c r="C521" s="174"/>
      <c r="D521" s="174"/>
      <c r="E521" s="174"/>
      <c r="F521" s="174"/>
      <c r="G521" s="174"/>
      <c r="H521" s="174"/>
    </row>
    <row r="522" spans="1:8" ht="14.25" customHeight="1">
      <c r="A522" s="174"/>
      <c r="B522" s="174"/>
      <c r="C522" s="174"/>
      <c r="D522" s="174"/>
      <c r="E522" s="174"/>
      <c r="F522" s="174"/>
      <c r="G522" s="174"/>
      <c r="H522" s="174"/>
    </row>
    <row r="523" spans="1:8" ht="14.25" customHeight="1">
      <c r="A523" s="174"/>
      <c r="B523" s="174"/>
      <c r="C523" s="174"/>
      <c r="D523" s="174"/>
      <c r="E523" s="174"/>
      <c r="F523" s="174"/>
      <c r="G523" s="174"/>
      <c r="H523" s="174"/>
    </row>
    <row r="524" spans="1:8" ht="14.25" customHeight="1">
      <c r="A524" s="174"/>
      <c r="B524" s="174"/>
      <c r="C524" s="174"/>
      <c r="D524" s="174"/>
      <c r="E524" s="174"/>
      <c r="F524" s="174"/>
      <c r="G524" s="174"/>
      <c r="H524" s="174"/>
    </row>
    <row r="525" spans="1:8" ht="14.25" customHeight="1">
      <c r="A525" s="174"/>
      <c r="B525" s="174"/>
      <c r="C525" s="174"/>
      <c r="D525" s="174"/>
      <c r="E525" s="174"/>
      <c r="F525" s="174"/>
      <c r="G525" s="174"/>
      <c r="H525" s="174"/>
    </row>
    <row r="526" spans="1:8" ht="14.25" customHeight="1">
      <c r="A526" s="174"/>
      <c r="B526" s="174"/>
      <c r="C526" s="174"/>
      <c r="D526" s="174"/>
      <c r="E526" s="174"/>
      <c r="F526" s="174"/>
      <c r="G526" s="174"/>
      <c r="H526" s="174"/>
    </row>
    <row r="527" spans="1:8" ht="14.25" customHeight="1">
      <c r="A527" s="174"/>
      <c r="B527" s="174"/>
      <c r="C527" s="174"/>
      <c r="D527" s="174"/>
      <c r="E527" s="174"/>
      <c r="F527" s="174"/>
      <c r="G527" s="174"/>
      <c r="H527" s="174"/>
    </row>
    <row r="528" spans="1:8" ht="14.25" customHeight="1">
      <c r="A528" s="174"/>
      <c r="B528" s="174"/>
      <c r="C528" s="174"/>
      <c r="D528" s="174"/>
      <c r="E528" s="174"/>
      <c r="F528" s="174"/>
      <c r="G528" s="174"/>
      <c r="H528" s="174"/>
    </row>
    <row r="529" spans="1:8" ht="14.25" customHeight="1">
      <c r="A529" s="174"/>
      <c r="B529" s="174"/>
      <c r="C529" s="174"/>
      <c r="D529" s="174"/>
      <c r="E529" s="174"/>
      <c r="F529" s="174"/>
      <c r="G529" s="174"/>
      <c r="H529" s="174"/>
    </row>
    <row r="530" spans="1:8" ht="14.25" customHeight="1">
      <c r="A530" s="174"/>
      <c r="B530" s="174"/>
      <c r="C530" s="174"/>
      <c r="D530" s="174"/>
      <c r="E530" s="174"/>
      <c r="F530" s="174"/>
      <c r="G530" s="174"/>
      <c r="H530" s="174"/>
    </row>
    <row r="531" spans="1:8" ht="14.25" customHeight="1">
      <c r="A531" s="174"/>
      <c r="B531" s="174"/>
      <c r="C531" s="174"/>
      <c r="D531" s="174"/>
      <c r="E531" s="174"/>
      <c r="F531" s="174"/>
      <c r="G531" s="174"/>
      <c r="H531" s="174"/>
    </row>
    <row r="532" spans="1:8" ht="14.25" customHeight="1">
      <c r="A532" s="174"/>
      <c r="B532" s="174"/>
      <c r="C532" s="174"/>
      <c r="D532" s="174"/>
      <c r="E532" s="174"/>
      <c r="F532" s="174"/>
      <c r="G532" s="174"/>
      <c r="H532" s="174"/>
    </row>
    <row r="533" spans="1:8" ht="14.25" customHeight="1">
      <c r="A533" s="174"/>
      <c r="B533" s="174"/>
      <c r="C533" s="174"/>
      <c r="D533" s="174"/>
      <c r="E533" s="174"/>
      <c r="F533" s="174"/>
      <c r="G533" s="174"/>
      <c r="H533" s="174"/>
    </row>
    <row r="534" spans="1:8" ht="14.25" customHeight="1">
      <c r="A534" s="174"/>
      <c r="B534" s="174"/>
      <c r="C534" s="174"/>
      <c r="D534" s="174"/>
      <c r="E534" s="174"/>
      <c r="F534" s="174"/>
      <c r="G534" s="174"/>
      <c r="H534" s="174"/>
    </row>
    <row r="535" spans="1:8" ht="14.25" customHeight="1">
      <c r="A535" s="174"/>
      <c r="B535" s="174"/>
      <c r="C535" s="174"/>
      <c r="D535" s="174"/>
      <c r="E535" s="174"/>
      <c r="F535" s="174"/>
      <c r="G535" s="174"/>
      <c r="H535" s="174"/>
    </row>
    <row r="536" spans="1:8" ht="14.25" customHeight="1">
      <c r="A536" s="174"/>
      <c r="B536" s="174"/>
      <c r="C536" s="174"/>
      <c r="D536" s="174"/>
      <c r="E536" s="174"/>
      <c r="F536" s="174"/>
      <c r="G536" s="174"/>
      <c r="H536" s="174"/>
    </row>
    <row r="537" spans="1:8" ht="14.25" customHeight="1">
      <c r="A537" s="174"/>
      <c r="B537" s="174"/>
      <c r="C537" s="174"/>
      <c r="D537" s="174"/>
      <c r="E537" s="174"/>
      <c r="F537" s="174"/>
      <c r="G537" s="174"/>
      <c r="H537" s="174"/>
    </row>
    <row r="538" spans="1:8" ht="14.25" customHeight="1">
      <c r="A538" s="174"/>
      <c r="B538" s="174"/>
      <c r="C538" s="174"/>
      <c r="D538" s="174"/>
      <c r="E538" s="174"/>
      <c r="F538" s="174"/>
      <c r="G538" s="174"/>
      <c r="H538" s="174"/>
    </row>
    <row r="539" spans="1:8" ht="14.25" customHeight="1">
      <c r="A539" s="174"/>
      <c r="B539" s="174"/>
      <c r="C539" s="174"/>
      <c r="D539" s="174"/>
      <c r="E539" s="174"/>
      <c r="F539" s="174"/>
      <c r="G539" s="174"/>
      <c r="H539" s="174"/>
    </row>
    <row r="540" spans="1:8" ht="14.25" customHeight="1">
      <c r="A540" s="174"/>
      <c r="B540" s="174"/>
      <c r="C540" s="174"/>
      <c r="D540" s="174"/>
      <c r="E540" s="174"/>
      <c r="F540" s="174"/>
      <c r="G540" s="174"/>
      <c r="H540" s="174"/>
    </row>
    <row r="541" spans="1:8" ht="14.25" customHeight="1">
      <c r="A541" s="174"/>
      <c r="B541" s="174"/>
      <c r="C541" s="174"/>
      <c r="D541" s="174"/>
      <c r="E541" s="174"/>
      <c r="F541" s="174"/>
      <c r="G541" s="174"/>
      <c r="H541" s="174"/>
    </row>
    <row r="542" spans="1:8" ht="14.25" customHeight="1">
      <c r="A542" s="174"/>
      <c r="B542" s="174"/>
      <c r="C542" s="174"/>
      <c r="D542" s="174"/>
      <c r="E542" s="174"/>
      <c r="F542" s="174"/>
      <c r="G542" s="174"/>
      <c r="H542" s="174"/>
    </row>
    <row r="543" spans="1:8" ht="14.25" customHeight="1">
      <c r="A543" s="174"/>
      <c r="B543" s="174"/>
      <c r="C543" s="174"/>
      <c r="D543" s="174"/>
      <c r="E543" s="174"/>
      <c r="F543" s="174"/>
      <c r="G543" s="174"/>
      <c r="H543" s="174"/>
    </row>
    <row r="544" spans="1:8" ht="14.25" customHeight="1">
      <c r="A544" s="174"/>
      <c r="B544" s="174"/>
      <c r="C544" s="174"/>
      <c r="D544" s="174"/>
      <c r="E544" s="174"/>
      <c r="F544" s="174"/>
      <c r="G544" s="174"/>
      <c r="H544" s="174"/>
    </row>
    <row r="545" spans="1:8" ht="14.25" customHeight="1">
      <c r="A545" s="174"/>
      <c r="B545" s="174"/>
      <c r="C545" s="174"/>
      <c r="D545" s="174"/>
      <c r="E545" s="174"/>
      <c r="F545" s="174"/>
      <c r="G545" s="174"/>
      <c r="H545" s="174"/>
    </row>
    <row r="546" spans="1:8" ht="14.25" customHeight="1">
      <c r="A546" s="174"/>
      <c r="B546" s="174"/>
      <c r="C546" s="174"/>
      <c r="D546" s="174"/>
      <c r="E546" s="174"/>
      <c r="F546" s="174"/>
      <c r="G546" s="174"/>
      <c r="H546" s="174"/>
    </row>
    <row r="547" spans="1:8" ht="14.25" customHeight="1">
      <c r="A547" s="174"/>
      <c r="B547" s="174"/>
      <c r="C547" s="174"/>
      <c r="D547" s="174"/>
      <c r="E547" s="174"/>
      <c r="F547" s="174"/>
      <c r="G547" s="174"/>
      <c r="H547" s="174"/>
    </row>
    <row r="548" spans="1:8" ht="14.25" customHeight="1">
      <c r="A548" s="174"/>
      <c r="B548" s="174"/>
      <c r="C548" s="174"/>
      <c r="D548" s="174"/>
      <c r="E548" s="174"/>
      <c r="F548" s="174"/>
      <c r="G548" s="174"/>
      <c r="H548" s="174"/>
    </row>
    <row r="549" spans="1:8" ht="14.25" customHeight="1">
      <c r="A549" s="174"/>
      <c r="B549" s="174"/>
      <c r="C549" s="174"/>
      <c r="D549" s="174"/>
      <c r="E549" s="174"/>
      <c r="F549" s="174"/>
      <c r="G549" s="174"/>
      <c r="H549" s="174"/>
    </row>
    <row r="550" spans="1:8" ht="14.25" customHeight="1">
      <c r="A550" s="174"/>
      <c r="B550" s="174"/>
      <c r="C550" s="174"/>
      <c r="D550" s="174"/>
      <c r="E550" s="174"/>
      <c r="F550" s="174"/>
      <c r="G550" s="174"/>
      <c r="H550" s="174"/>
    </row>
    <row r="551" spans="1:8" ht="14.25" customHeight="1">
      <c r="A551" s="174"/>
      <c r="B551" s="174"/>
      <c r="C551" s="174"/>
      <c r="D551" s="174"/>
      <c r="E551" s="174"/>
      <c r="F551" s="174"/>
      <c r="G551" s="174"/>
      <c r="H551" s="174"/>
    </row>
    <row r="552" spans="1:8" ht="14.25" customHeight="1">
      <c r="A552" s="174"/>
      <c r="B552" s="174"/>
      <c r="C552" s="174"/>
      <c r="D552" s="174"/>
      <c r="E552" s="174"/>
      <c r="F552" s="174"/>
      <c r="G552" s="174"/>
      <c r="H552" s="174"/>
    </row>
    <row r="553" spans="1:8" ht="14.25" customHeight="1">
      <c r="A553" s="174"/>
      <c r="B553" s="174"/>
      <c r="C553" s="174"/>
      <c r="D553" s="174"/>
      <c r="E553" s="174"/>
      <c r="F553" s="174"/>
      <c r="G553" s="174"/>
      <c r="H553" s="174"/>
    </row>
    <row r="554" spans="1:8" ht="14.25" customHeight="1">
      <c r="A554" s="174"/>
      <c r="B554" s="174"/>
      <c r="C554" s="174"/>
      <c r="D554" s="174"/>
      <c r="E554" s="174"/>
      <c r="F554" s="174"/>
      <c r="G554" s="174"/>
      <c r="H554" s="174"/>
    </row>
    <row r="555" spans="1:8" ht="14.25" customHeight="1">
      <c r="A555" s="174"/>
      <c r="B555" s="174"/>
      <c r="C555" s="174"/>
      <c r="D555" s="174"/>
      <c r="E555" s="174"/>
      <c r="F555" s="174"/>
      <c r="G555" s="174"/>
      <c r="H555" s="174"/>
    </row>
    <row r="556" spans="1:8" ht="14.25" customHeight="1">
      <c r="A556" s="174"/>
      <c r="B556" s="174"/>
      <c r="C556" s="174"/>
      <c r="D556" s="174"/>
      <c r="E556" s="174"/>
      <c r="F556" s="174"/>
      <c r="G556" s="174"/>
      <c r="H556" s="174"/>
    </row>
    <row r="557" spans="1:8" ht="14.25" customHeight="1">
      <c r="A557" s="174"/>
      <c r="B557" s="174"/>
      <c r="C557" s="174"/>
      <c r="D557" s="174"/>
      <c r="E557" s="174"/>
      <c r="F557" s="174"/>
      <c r="G557" s="174"/>
      <c r="H557" s="174"/>
    </row>
    <row r="558" spans="1:8" ht="14.25" customHeight="1">
      <c r="A558" s="174"/>
      <c r="B558" s="174"/>
      <c r="C558" s="174"/>
      <c r="D558" s="174"/>
      <c r="E558" s="174"/>
      <c r="F558" s="174"/>
      <c r="G558" s="174"/>
      <c r="H558" s="174"/>
    </row>
    <row r="559" spans="1:8" ht="14.25" customHeight="1">
      <c r="A559" s="174"/>
      <c r="B559" s="174"/>
      <c r="C559" s="174"/>
      <c r="D559" s="174"/>
      <c r="E559" s="174"/>
      <c r="F559" s="174"/>
      <c r="G559" s="174"/>
      <c r="H559" s="174"/>
    </row>
    <row r="560" spans="1:8" ht="14.25" customHeight="1">
      <c r="A560" s="174"/>
      <c r="B560" s="174"/>
      <c r="C560" s="174"/>
      <c r="D560" s="174"/>
      <c r="E560" s="174"/>
      <c r="F560" s="174"/>
      <c r="G560" s="174"/>
      <c r="H560" s="174"/>
    </row>
    <row r="561" spans="1:8" ht="14.25" customHeight="1">
      <c r="A561" s="174"/>
      <c r="B561" s="174"/>
      <c r="C561" s="174"/>
      <c r="D561" s="174"/>
      <c r="E561" s="174"/>
      <c r="F561" s="174"/>
      <c r="G561" s="174"/>
      <c r="H561" s="174"/>
    </row>
    <row r="562" spans="1:8" ht="14.25" customHeight="1">
      <c r="A562" s="174"/>
      <c r="B562" s="174"/>
      <c r="C562" s="174"/>
      <c r="D562" s="174"/>
      <c r="E562" s="174"/>
      <c r="F562" s="174"/>
      <c r="G562" s="174"/>
      <c r="H562" s="174"/>
    </row>
    <row r="563" spans="1:8" ht="14.25" customHeight="1">
      <c r="A563" s="174"/>
      <c r="B563" s="174"/>
      <c r="C563" s="174"/>
      <c r="D563" s="174"/>
      <c r="E563" s="174"/>
      <c r="F563" s="174"/>
      <c r="G563" s="174"/>
      <c r="H563" s="174"/>
    </row>
    <row r="564" spans="1:8" ht="14.25" customHeight="1">
      <c r="A564" s="174"/>
      <c r="B564" s="174"/>
      <c r="C564" s="174"/>
      <c r="D564" s="174"/>
      <c r="E564" s="174"/>
      <c r="F564" s="174"/>
      <c r="G564" s="174"/>
      <c r="H564" s="174"/>
    </row>
    <row r="565" spans="1:8" ht="14.25" customHeight="1">
      <c r="A565" s="174"/>
      <c r="B565" s="174"/>
      <c r="C565" s="174"/>
      <c r="D565" s="174"/>
      <c r="E565" s="174"/>
      <c r="F565" s="174"/>
      <c r="G565" s="174"/>
      <c r="H565" s="174"/>
    </row>
    <row r="566" spans="1:8" ht="14.25" customHeight="1">
      <c r="A566" s="174"/>
      <c r="B566" s="174"/>
      <c r="C566" s="174"/>
      <c r="D566" s="174"/>
      <c r="E566" s="174"/>
      <c r="F566" s="174"/>
      <c r="G566" s="174"/>
      <c r="H566" s="174"/>
    </row>
    <row r="567" spans="1:8" ht="14.25" customHeight="1">
      <c r="A567" s="174"/>
      <c r="B567" s="174"/>
      <c r="C567" s="174"/>
      <c r="D567" s="174"/>
      <c r="E567" s="174"/>
      <c r="F567" s="174"/>
      <c r="G567" s="174"/>
      <c r="H567" s="174"/>
    </row>
    <row r="568" spans="1:8" ht="14.25" customHeight="1">
      <c r="A568" s="174"/>
      <c r="B568" s="174"/>
      <c r="C568" s="174"/>
      <c r="D568" s="174"/>
      <c r="E568" s="174"/>
      <c r="F568" s="174"/>
      <c r="G568" s="174"/>
      <c r="H568" s="174"/>
    </row>
    <row r="569" spans="1:8" ht="14.25" customHeight="1">
      <c r="A569" s="174"/>
      <c r="B569" s="174"/>
      <c r="C569" s="174"/>
      <c r="D569" s="174"/>
      <c r="E569" s="174"/>
      <c r="F569" s="174"/>
      <c r="G569" s="174"/>
      <c r="H569" s="174"/>
    </row>
    <row r="570" spans="1:8" ht="14.25" customHeight="1">
      <c r="A570" s="174"/>
      <c r="B570" s="174"/>
      <c r="C570" s="174"/>
      <c r="D570" s="174"/>
      <c r="E570" s="174"/>
      <c r="F570" s="174"/>
      <c r="G570" s="174"/>
      <c r="H570" s="174"/>
    </row>
    <row r="571" spans="1:8" ht="14.25" customHeight="1">
      <c r="A571" s="174"/>
      <c r="B571" s="174"/>
      <c r="C571" s="174"/>
      <c r="D571" s="174"/>
      <c r="E571" s="174"/>
      <c r="F571" s="174"/>
      <c r="G571" s="174"/>
      <c r="H571" s="174"/>
    </row>
    <row r="572" spans="1:8" ht="14.25" customHeight="1">
      <c r="A572" s="174"/>
      <c r="B572" s="174"/>
      <c r="C572" s="174"/>
      <c r="D572" s="174"/>
      <c r="E572" s="174"/>
      <c r="F572" s="174"/>
      <c r="G572" s="174"/>
      <c r="H572" s="174"/>
    </row>
    <row r="573" spans="1:8" ht="14.25" customHeight="1">
      <c r="A573" s="174"/>
      <c r="B573" s="174"/>
      <c r="C573" s="174"/>
      <c r="D573" s="174"/>
      <c r="E573" s="174"/>
      <c r="F573" s="174"/>
      <c r="G573" s="174"/>
      <c r="H573" s="174"/>
    </row>
    <row r="574" spans="1:8" ht="14.25" customHeight="1">
      <c r="A574" s="174"/>
      <c r="B574" s="174"/>
      <c r="C574" s="174"/>
      <c r="D574" s="174"/>
      <c r="E574" s="174"/>
      <c r="F574" s="174"/>
      <c r="G574" s="174"/>
      <c r="H574" s="174"/>
    </row>
    <row r="575" spans="1:8" ht="14.25" customHeight="1">
      <c r="A575" s="174"/>
      <c r="B575" s="174"/>
      <c r="C575" s="174"/>
      <c r="D575" s="174"/>
      <c r="E575" s="174"/>
      <c r="F575" s="174"/>
      <c r="G575" s="174"/>
      <c r="H575" s="174"/>
    </row>
    <row r="576" spans="1:8" ht="14.25" customHeight="1">
      <c r="A576" s="174"/>
      <c r="B576" s="174"/>
      <c r="C576" s="174"/>
      <c r="D576" s="174"/>
      <c r="E576" s="174"/>
      <c r="F576" s="174"/>
      <c r="G576" s="174"/>
      <c r="H576" s="174"/>
    </row>
    <row r="577" spans="1:8" ht="14.25" customHeight="1">
      <c r="A577" s="174"/>
      <c r="B577" s="174"/>
      <c r="C577" s="174"/>
      <c r="D577" s="174"/>
      <c r="E577" s="174"/>
      <c r="F577" s="174"/>
      <c r="G577" s="174"/>
      <c r="H577" s="174"/>
    </row>
    <row r="578" spans="1:8" ht="14.25" customHeight="1">
      <c r="A578" s="174"/>
      <c r="B578" s="174"/>
      <c r="C578" s="174"/>
      <c r="D578" s="174"/>
      <c r="E578" s="174"/>
      <c r="F578" s="174"/>
      <c r="G578" s="174"/>
      <c r="H578" s="174"/>
    </row>
    <row r="579" spans="1:8" ht="14.25" customHeight="1">
      <c r="A579" s="174"/>
      <c r="B579" s="174"/>
      <c r="C579" s="174"/>
      <c r="D579" s="174"/>
      <c r="E579" s="174"/>
      <c r="F579" s="174"/>
      <c r="G579" s="174"/>
      <c r="H579" s="174"/>
    </row>
    <row r="580" spans="1:8" ht="14.25" customHeight="1">
      <c r="A580" s="174"/>
      <c r="B580" s="174"/>
      <c r="C580" s="174"/>
      <c r="D580" s="174"/>
      <c r="E580" s="174"/>
      <c r="F580" s="174"/>
      <c r="G580" s="174"/>
      <c r="H580" s="174"/>
    </row>
    <row r="581" spans="1:8" ht="14.25" customHeight="1">
      <c r="A581" s="174"/>
      <c r="B581" s="174"/>
      <c r="C581" s="174"/>
      <c r="D581" s="174"/>
      <c r="E581" s="174"/>
      <c r="F581" s="174"/>
      <c r="G581" s="174"/>
      <c r="H581" s="174"/>
    </row>
    <row r="582" spans="1:8" ht="14.25" customHeight="1">
      <c r="A582" s="174"/>
      <c r="B582" s="174"/>
      <c r="C582" s="174"/>
      <c r="D582" s="174"/>
      <c r="E582" s="174"/>
      <c r="F582" s="174"/>
      <c r="G582" s="174"/>
      <c r="H582" s="174"/>
    </row>
    <row r="583" spans="1:8" ht="14.25" customHeight="1">
      <c r="A583" s="174"/>
      <c r="B583" s="174"/>
      <c r="C583" s="174"/>
      <c r="D583" s="174"/>
      <c r="E583" s="174"/>
      <c r="F583" s="174"/>
      <c r="G583" s="174"/>
      <c r="H583" s="174"/>
    </row>
    <row r="584" spans="1:8" ht="14.25" customHeight="1">
      <c r="A584" s="174"/>
      <c r="B584" s="174"/>
      <c r="C584" s="174"/>
      <c r="D584" s="174"/>
      <c r="E584" s="174"/>
      <c r="F584" s="174"/>
      <c r="G584" s="174"/>
      <c r="H584" s="174"/>
    </row>
    <row r="585" spans="1:8" ht="14.25" customHeight="1">
      <c r="A585" s="174"/>
      <c r="B585" s="174"/>
      <c r="C585" s="174"/>
      <c r="D585" s="174"/>
      <c r="E585" s="174"/>
      <c r="F585" s="174"/>
      <c r="G585" s="174"/>
      <c r="H585" s="174"/>
    </row>
    <row r="586" spans="1:8" ht="14.25" customHeight="1">
      <c r="A586" s="174"/>
      <c r="B586" s="174"/>
      <c r="C586" s="174"/>
      <c r="D586" s="174"/>
      <c r="E586" s="174"/>
      <c r="F586" s="174"/>
      <c r="G586" s="174"/>
      <c r="H586" s="174"/>
    </row>
    <row r="587" spans="1:8" ht="14.25" customHeight="1">
      <c r="A587" s="174"/>
      <c r="B587" s="174"/>
      <c r="C587" s="174"/>
      <c r="D587" s="174"/>
      <c r="E587" s="174"/>
      <c r="F587" s="174"/>
      <c r="G587" s="174"/>
      <c r="H587" s="174"/>
    </row>
    <row r="588" spans="1:8" ht="14.25" customHeight="1">
      <c r="A588" s="174"/>
      <c r="B588" s="174"/>
      <c r="C588" s="174"/>
      <c r="D588" s="174"/>
      <c r="E588" s="174"/>
      <c r="F588" s="174"/>
      <c r="G588" s="174"/>
      <c r="H588" s="174"/>
    </row>
    <row r="589" spans="1:8" ht="14.25" customHeight="1">
      <c r="A589" s="174"/>
      <c r="B589" s="174"/>
      <c r="C589" s="174"/>
      <c r="D589" s="174"/>
      <c r="E589" s="174"/>
      <c r="F589" s="174"/>
      <c r="G589" s="174"/>
      <c r="H589" s="174"/>
    </row>
    <row r="590" spans="1:8" ht="14.25" customHeight="1">
      <c r="A590" s="174"/>
      <c r="B590" s="174"/>
      <c r="C590" s="174"/>
      <c r="D590" s="174"/>
      <c r="E590" s="174"/>
      <c r="F590" s="174"/>
      <c r="G590" s="174"/>
      <c r="H590" s="174"/>
    </row>
    <row r="591" spans="1:8" ht="14.25" customHeight="1">
      <c r="A591" s="174"/>
      <c r="B591" s="174"/>
      <c r="C591" s="174"/>
      <c r="D591" s="174"/>
      <c r="E591" s="174"/>
      <c r="F591" s="174"/>
      <c r="G591" s="174"/>
      <c r="H591" s="174"/>
    </row>
    <row r="592" spans="1:8" ht="14.25" customHeight="1">
      <c r="A592" s="174"/>
      <c r="B592" s="174"/>
      <c r="C592" s="174"/>
      <c r="D592" s="174"/>
      <c r="E592" s="174"/>
      <c r="F592" s="174"/>
      <c r="G592" s="174"/>
      <c r="H592" s="174"/>
    </row>
    <row r="593" spans="1:8" ht="14.25" customHeight="1">
      <c r="A593" s="174"/>
      <c r="B593" s="174"/>
      <c r="C593" s="174"/>
      <c r="D593" s="174"/>
      <c r="E593" s="174"/>
      <c r="F593" s="174"/>
      <c r="G593" s="174"/>
      <c r="H593" s="174"/>
    </row>
    <row r="594" spans="1:8" ht="14.25" customHeight="1">
      <c r="A594" s="174"/>
      <c r="B594" s="174"/>
      <c r="C594" s="174"/>
      <c r="D594" s="174"/>
      <c r="E594" s="174"/>
      <c r="F594" s="174"/>
      <c r="G594" s="174"/>
      <c r="H594" s="174"/>
    </row>
    <row r="595" spans="1:8" ht="14.25" customHeight="1">
      <c r="A595" s="174"/>
      <c r="B595" s="174"/>
      <c r="C595" s="174"/>
      <c r="D595" s="174"/>
      <c r="E595" s="174"/>
      <c r="F595" s="174"/>
      <c r="G595" s="174"/>
      <c r="H595" s="174"/>
    </row>
    <row r="596" spans="1:8" ht="14.25" customHeight="1">
      <c r="A596" s="174"/>
      <c r="B596" s="174"/>
      <c r="C596" s="174"/>
      <c r="D596" s="174"/>
      <c r="E596" s="174"/>
      <c r="F596" s="174"/>
      <c r="G596" s="174"/>
      <c r="H596" s="174"/>
    </row>
    <row r="597" spans="1:8" ht="14.25" customHeight="1">
      <c r="A597" s="174"/>
      <c r="B597" s="174"/>
      <c r="C597" s="174"/>
      <c r="D597" s="174"/>
      <c r="E597" s="174"/>
      <c r="F597" s="174"/>
      <c r="G597" s="174"/>
      <c r="H597" s="174"/>
    </row>
    <row r="598" spans="1:8" ht="14.25" customHeight="1">
      <c r="A598" s="174"/>
      <c r="B598" s="174"/>
      <c r="C598" s="174"/>
      <c r="D598" s="174"/>
      <c r="E598" s="174"/>
      <c r="F598" s="174"/>
      <c r="G598" s="174"/>
      <c r="H598" s="174"/>
    </row>
    <row r="599" spans="1:8" ht="14.25" customHeight="1">
      <c r="A599" s="174"/>
      <c r="B599" s="174"/>
      <c r="C599" s="174"/>
      <c r="D599" s="174"/>
      <c r="E599" s="174"/>
      <c r="F599" s="174"/>
      <c r="G599" s="174"/>
      <c r="H599" s="174"/>
    </row>
    <row r="600" spans="1:8" ht="14.25" customHeight="1">
      <c r="A600" s="174"/>
      <c r="B600" s="174"/>
      <c r="C600" s="174"/>
      <c r="D600" s="174"/>
      <c r="E600" s="174"/>
      <c r="F600" s="174"/>
      <c r="G600" s="174"/>
      <c r="H600" s="174"/>
    </row>
    <row r="601" spans="1:8" ht="14.25" customHeight="1">
      <c r="A601" s="174"/>
      <c r="B601" s="174"/>
      <c r="C601" s="174"/>
      <c r="D601" s="174"/>
      <c r="E601" s="174"/>
      <c r="F601" s="174"/>
      <c r="G601" s="174"/>
      <c r="H601" s="174"/>
    </row>
    <row r="602" spans="1:8" ht="14.25" customHeight="1">
      <c r="A602" s="174"/>
      <c r="B602" s="174"/>
      <c r="C602" s="174"/>
      <c r="D602" s="174"/>
      <c r="E602" s="174"/>
      <c r="F602" s="174"/>
      <c r="G602" s="174"/>
      <c r="H602" s="174"/>
    </row>
    <row r="603" spans="1:8" ht="14.25" customHeight="1">
      <c r="A603" s="174"/>
      <c r="B603" s="174"/>
      <c r="C603" s="174"/>
      <c r="D603" s="174"/>
      <c r="E603" s="174"/>
      <c r="F603" s="174"/>
      <c r="G603" s="174"/>
      <c r="H603" s="174"/>
    </row>
    <row r="604" spans="1:8" ht="14.25" customHeight="1">
      <c r="A604" s="174"/>
      <c r="B604" s="174"/>
      <c r="C604" s="174"/>
      <c r="D604" s="174"/>
      <c r="E604" s="174"/>
      <c r="F604" s="174"/>
      <c r="G604" s="174"/>
      <c r="H604" s="174"/>
    </row>
    <row r="605" spans="1:8" ht="14.25" customHeight="1">
      <c r="A605" s="174"/>
      <c r="B605" s="174"/>
      <c r="C605" s="174"/>
      <c r="D605" s="174"/>
      <c r="E605" s="174"/>
      <c r="F605" s="174"/>
      <c r="G605" s="174"/>
      <c r="H605" s="174"/>
    </row>
    <row r="606" spans="1:8" ht="14.25" customHeight="1">
      <c r="A606" s="174"/>
      <c r="B606" s="174"/>
      <c r="C606" s="174"/>
      <c r="D606" s="174"/>
      <c r="E606" s="174"/>
      <c r="F606" s="174"/>
      <c r="G606" s="174"/>
      <c r="H606" s="174"/>
    </row>
    <row r="607" spans="1:8" ht="14.25" customHeight="1">
      <c r="A607" s="174"/>
      <c r="B607" s="174"/>
      <c r="C607" s="174"/>
      <c r="D607" s="174"/>
      <c r="E607" s="174"/>
      <c r="F607" s="174"/>
      <c r="G607" s="174"/>
      <c r="H607" s="174"/>
    </row>
    <row r="608" spans="1:8" ht="14.25" customHeight="1">
      <c r="A608" s="174"/>
      <c r="B608" s="174"/>
      <c r="C608" s="174"/>
      <c r="D608" s="174"/>
      <c r="E608" s="174"/>
      <c r="F608" s="174"/>
      <c r="G608" s="174"/>
      <c r="H608" s="174"/>
    </row>
    <row r="609" spans="1:8" ht="14.25" customHeight="1">
      <c r="A609" s="174"/>
      <c r="B609" s="174"/>
      <c r="C609" s="174"/>
      <c r="D609" s="174"/>
      <c r="E609" s="174"/>
      <c r="F609" s="174"/>
      <c r="G609" s="174"/>
      <c r="H609" s="174"/>
    </row>
    <row r="610" spans="1:8" ht="14.25" customHeight="1">
      <c r="A610" s="174"/>
      <c r="B610" s="174"/>
      <c r="C610" s="174"/>
      <c r="D610" s="174"/>
      <c r="E610" s="174"/>
      <c r="F610" s="174"/>
      <c r="G610" s="174"/>
      <c r="H610" s="174"/>
    </row>
    <row r="611" spans="1:8" ht="14.25" customHeight="1">
      <c r="A611" s="174"/>
      <c r="B611" s="174"/>
      <c r="C611" s="174"/>
      <c r="D611" s="174"/>
      <c r="E611" s="174"/>
      <c r="F611" s="174"/>
      <c r="G611" s="174"/>
      <c r="H611" s="174"/>
    </row>
    <row r="612" spans="1:8" ht="14.25" customHeight="1">
      <c r="A612" s="174"/>
      <c r="B612" s="174"/>
      <c r="C612" s="174"/>
      <c r="D612" s="174"/>
      <c r="E612" s="174"/>
      <c r="F612" s="174"/>
      <c r="G612" s="174"/>
      <c r="H612" s="174"/>
    </row>
    <row r="613" spans="1:8" ht="14.25" customHeight="1">
      <c r="A613" s="174"/>
      <c r="B613" s="174"/>
      <c r="C613" s="174"/>
      <c r="D613" s="174"/>
      <c r="E613" s="174"/>
      <c r="F613" s="174"/>
      <c r="G613" s="174"/>
      <c r="H613" s="174"/>
    </row>
    <row r="614" spans="1:8" ht="14.25" customHeight="1">
      <c r="A614" s="174"/>
      <c r="B614" s="174"/>
      <c r="C614" s="174"/>
      <c r="D614" s="174"/>
      <c r="E614" s="174"/>
      <c r="F614" s="174"/>
      <c r="G614" s="174"/>
      <c r="H614" s="174"/>
    </row>
    <row r="615" spans="1:8" ht="14.25" customHeight="1">
      <c r="A615" s="174"/>
      <c r="B615" s="174"/>
      <c r="C615" s="174"/>
      <c r="D615" s="174"/>
      <c r="E615" s="174"/>
      <c r="F615" s="174"/>
      <c r="G615" s="174"/>
      <c r="H615" s="174"/>
    </row>
    <row r="616" spans="1:8" ht="14.25" customHeight="1">
      <c r="A616" s="174"/>
      <c r="B616" s="174"/>
      <c r="C616" s="174"/>
      <c r="D616" s="174"/>
      <c r="E616" s="174"/>
      <c r="F616" s="174"/>
      <c r="G616" s="174"/>
      <c r="H616" s="174"/>
    </row>
    <row r="617" spans="1:8" ht="14.25" customHeight="1">
      <c r="A617" s="174"/>
      <c r="B617" s="174"/>
      <c r="C617" s="174"/>
      <c r="D617" s="174"/>
      <c r="E617" s="174"/>
      <c r="F617" s="174"/>
      <c r="G617" s="174"/>
      <c r="H617" s="174"/>
    </row>
    <row r="618" spans="1:8" ht="14.25" customHeight="1">
      <c r="A618" s="174"/>
      <c r="B618" s="174"/>
      <c r="C618" s="174"/>
      <c r="D618" s="174"/>
      <c r="E618" s="174"/>
      <c r="F618" s="174"/>
      <c r="G618" s="174"/>
      <c r="H618" s="174"/>
    </row>
    <row r="619" spans="1:8" ht="14.25" customHeight="1">
      <c r="A619" s="174"/>
      <c r="B619" s="174"/>
      <c r="C619" s="174"/>
      <c r="D619" s="174"/>
      <c r="E619" s="174"/>
      <c r="F619" s="174"/>
      <c r="G619" s="174"/>
      <c r="H619" s="174"/>
    </row>
    <row r="620" spans="1:8" ht="14.25" customHeight="1">
      <c r="A620" s="174"/>
      <c r="B620" s="174"/>
      <c r="C620" s="174"/>
      <c r="D620" s="174"/>
      <c r="E620" s="174"/>
      <c r="F620" s="174"/>
      <c r="G620" s="174"/>
      <c r="H620" s="174"/>
    </row>
    <row r="621" spans="1:8" ht="14.25" customHeight="1">
      <c r="A621" s="174"/>
      <c r="B621" s="174"/>
      <c r="C621" s="174"/>
      <c r="D621" s="174"/>
      <c r="E621" s="174"/>
      <c r="F621" s="174"/>
      <c r="G621" s="174"/>
      <c r="H621" s="174"/>
    </row>
    <row r="622" spans="1:8" ht="14.25" customHeight="1">
      <c r="A622" s="174"/>
      <c r="B622" s="174"/>
      <c r="C622" s="174"/>
      <c r="D622" s="174"/>
      <c r="E622" s="174"/>
      <c r="F622" s="174"/>
      <c r="G622" s="174"/>
      <c r="H622" s="174"/>
    </row>
    <row r="623" spans="1:8" ht="14.25" customHeight="1">
      <c r="A623" s="174"/>
      <c r="B623" s="174"/>
      <c r="C623" s="174"/>
      <c r="D623" s="174"/>
      <c r="E623" s="174"/>
      <c r="F623" s="174"/>
      <c r="G623" s="174"/>
      <c r="H623" s="174"/>
    </row>
    <row r="624" spans="1:8" ht="14.25" customHeight="1">
      <c r="A624" s="174"/>
      <c r="B624" s="174"/>
      <c r="C624" s="174"/>
      <c r="D624" s="174"/>
      <c r="E624" s="174"/>
      <c r="F624" s="174"/>
      <c r="G624" s="174"/>
      <c r="H624" s="174"/>
    </row>
    <row r="625" spans="1:8" ht="14.25" customHeight="1">
      <c r="A625" s="174"/>
      <c r="B625" s="174"/>
      <c r="C625" s="174"/>
      <c r="D625" s="174"/>
      <c r="E625" s="174"/>
      <c r="F625" s="174"/>
      <c r="G625" s="174"/>
      <c r="H625" s="174"/>
    </row>
    <row r="626" spans="1:8" ht="14.25" customHeight="1">
      <c r="A626" s="174"/>
      <c r="B626" s="174"/>
      <c r="C626" s="174"/>
      <c r="D626" s="174"/>
      <c r="E626" s="174"/>
      <c r="F626" s="174"/>
      <c r="G626" s="174"/>
      <c r="H626" s="174"/>
    </row>
    <row r="627" spans="1:8" ht="14.25" customHeight="1">
      <c r="A627" s="174"/>
      <c r="B627" s="174"/>
      <c r="C627" s="174"/>
      <c r="D627" s="174"/>
      <c r="E627" s="174"/>
      <c r="F627" s="174"/>
      <c r="G627" s="174"/>
      <c r="H627" s="174"/>
    </row>
    <row r="628" spans="1:8" ht="14.25" customHeight="1">
      <c r="A628" s="174"/>
      <c r="B628" s="174"/>
      <c r="C628" s="174"/>
      <c r="D628" s="174"/>
      <c r="E628" s="174"/>
      <c r="F628" s="174"/>
      <c r="G628" s="174"/>
      <c r="H628" s="174"/>
    </row>
    <row r="629" spans="1:8" ht="14.25" customHeight="1">
      <c r="A629" s="174"/>
      <c r="B629" s="174"/>
      <c r="C629" s="174"/>
      <c r="D629" s="174"/>
      <c r="E629" s="174"/>
      <c r="F629" s="174"/>
      <c r="G629" s="174"/>
      <c r="H629" s="174"/>
    </row>
    <row r="630" spans="1:8" ht="14.25" customHeight="1">
      <c r="A630" s="174"/>
      <c r="B630" s="174"/>
      <c r="C630" s="174"/>
      <c r="D630" s="174"/>
      <c r="E630" s="174"/>
      <c r="F630" s="174"/>
      <c r="G630" s="174"/>
      <c r="H630" s="174"/>
    </row>
    <row r="631" spans="1:8" ht="14.25" customHeight="1">
      <c r="A631" s="174"/>
      <c r="B631" s="174"/>
      <c r="C631" s="174"/>
      <c r="D631" s="174"/>
      <c r="E631" s="174"/>
      <c r="F631" s="174"/>
      <c r="G631" s="174"/>
      <c r="H631" s="174"/>
    </row>
    <row r="632" spans="1:8" ht="14.25" customHeight="1">
      <c r="A632" s="174"/>
      <c r="B632" s="174"/>
      <c r="C632" s="174"/>
      <c r="D632" s="174"/>
      <c r="E632" s="174"/>
      <c r="F632" s="174"/>
      <c r="G632" s="174"/>
      <c r="H632" s="174"/>
    </row>
    <row r="633" spans="1:8" ht="14.25" customHeight="1">
      <c r="A633" s="174"/>
      <c r="B633" s="174"/>
      <c r="C633" s="174"/>
      <c r="D633" s="174"/>
      <c r="E633" s="174"/>
      <c r="F633" s="174"/>
      <c r="G633" s="174"/>
      <c r="H633" s="174"/>
    </row>
    <row r="634" spans="1:8" ht="14.25" customHeight="1">
      <c r="A634" s="174"/>
      <c r="B634" s="174"/>
      <c r="C634" s="174"/>
      <c r="D634" s="174"/>
      <c r="E634" s="174"/>
      <c r="F634" s="174"/>
      <c r="G634" s="174"/>
      <c r="H634" s="174"/>
    </row>
    <row r="635" spans="1:8" ht="14.25" customHeight="1">
      <c r="A635" s="174"/>
      <c r="B635" s="174"/>
      <c r="C635" s="174"/>
      <c r="D635" s="174"/>
      <c r="E635" s="174"/>
      <c r="F635" s="174"/>
      <c r="G635" s="174"/>
      <c r="H635" s="174"/>
    </row>
    <row r="636" spans="1:8" ht="14.25" customHeight="1">
      <c r="A636" s="174"/>
      <c r="B636" s="174"/>
      <c r="C636" s="174"/>
      <c r="D636" s="174"/>
      <c r="E636" s="174"/>
      <c r="F636" s="174"/>
      <c r="G636" s="174"/>
      <c r="H636" s="174"/>
    </row>
    <row r="637" spans="1:8" ht="14.25" customHeight="1">
      <c r="A637" s="174"/>
      <c r="B637" s="174"/>
      <c r="C637" s="174"/>
      <c r="D637" s="174"/>
      <c r="E637" s="174"/>
      <c r="F637" s="174"/>
      <c r="G637" s="174"/>
      <c r="H637" s="174"/>
    </row>
    <row r="638" spans="1:8" ht="14.25" customHeight="1">
      <c r="A638" s="174"/>
      <c r="B638" s="174"/>
      <c r="C638" s="174"/>
      <c r="D638" s="174"/>
      <c r="E638" s="174"/>
      <c r="F638" s="174"/>
      <c r="G638" s="174"/>
      <c r="H638" s="174"/>
    </row>
    <row r="639" spans="1:8" ht="14.25" customHeight="1">
      <c r="A639" s="174"/>
      <c r="B639" s="174"/>
      <c r="C639" s="174"/>
      <c r="D639" s="174"/>
      <c r="E639" s="174"/>
      <c r="F639" s="174"/>
      <c r="G639" s="174"/>
      <c r="H639" s="174"/>
    </row>
    <row r="640" spans="1:8" ht="14.25" customHeight="1">
      <c r="A640" s="174"/>
      <c r="B640" s="174"/>
      <c r="C640" s="174"/>
      <c r="D640" s="174"/>
      <c r="E640" s="174"/>
      <c r="F640" s="174"/>
      <c r="G640" s="174"/>
      <c r="H640" s="174"/>
    </row>
    <row r="641" spans="1:8" ht="14.25" customHeight="1">
      <c r="A641" s="174"/>
      <c r="B641" s="174"/>
      <c r="C641" s="174"/>
      <c r="D641" s="174"/>
      <c r="E641" s="174"/>
      <c r="F641" s="174"/>
      <c r="G641" s="174"/>
      <c r="H641" s="174"/>
    </row>
    <row r="642" spans="1:8" ht="14.25" customHeight="1">
      <c r="A642" s="174"/>
      <c r="B642" s="174"/>
      <c r="C642" s="174"/>
      <c r="D642" s="174"/>
      <c r="E642" s="174"/>
      <c r="F642" s="174"/>
      <c r="G642" s="174"/>
      <c r="H642" s="174"/>
    </row>
    <row r="643" spans="1:8" ht="14.25" customHeight="1">
      <c r="A643" s="174"/>
      <c r="B643" s="174"/>
      <c r="C643" s="174"/>
      <c r="D643" s="174"/>
      <c r="E643" s="174"/>
      <c r="F643" s="174"/>
      <c r="G643" s="174"/>
      <c r="H643" s="174"/>
    </row>
    <row r="644" spans="1:8" ht="14.25" customHeight="1">
      <c r="A644" s="174"/>
      <c r="B644" s="174"/>
      <c r="C644" s="174"/>
      <c r="D644" s="174"/>
      <c r="E644" s="174"/>
      <c r="F644" s="174"/>
      <c r="G644" s="174"/>
      <c r="H644" s="174"/>
    </row>
    <row r="645" spans="1:8" ht="14.25" customHeight="1">
      <c r="A645" s="174"/>
      <c r="B645" s="174"/>
      <c r="C645" s="174"/>
      <c r="D645" s="174"/>
      <c r="E645" s="174"/>
      <c r="F645" s="174"/>
      <c r="G645" s="174"/>
      <c r="H645" s="174"/>
    </row>
    <row r="646" spans="1:8" ht="14.25" customHeight="1">
      <c r="A646" s="174"/>
      <c r="B646" s="174"/>
      <c r="C646" s="174"/>
      <c r="D646" s="174"/>
      <c r="E646" s="174"/>
      <c r="F646" s="174"/>
      <c r="G646" s="174"/>
      <c r="H646" s="174"/>
    </row>
    <row r="647" spans="1:8" ht="14.25" customHeight="1">
      <c r="A647" s="174"/>
      <c r="B647" s="174"/>
      <c r="C647" s="174"/>
      <c r="D647" s="174"/>
      <c r="E647" s="174"/>
      <c r="F647" s="174"/>
      <c r="G647" s="174"/>
      <c r="H647" s="174"/>
    </row>
    <row r="648" spans="1:8" ht="14.25" customHeight="1">
      <c r="A648" s="174"/>
      <c r="B648" s="174"/>
      <c r="C648" s="174"/>
      <c r="D648" s="174"/>
      <c r="E648" s="174"/>
      <c r="F648" s="174"/>
      <c r="G648" s="174"/>
      <c r="H648" s="174"/>
    </row>
    <row r="649" spans="1:8" ht="14.25" customHeight="1">
      <c r="A649" s="174"/>
      <c r="B649" s="174"/>
      <c r="C649" s="174"/>
      <c r="D649" s="174"/>
      <c r="E649" s="174"/>
      <c r="F649" s="174"/>
      <c r="G649" s="174"/>
      <c r="H649" s="174"/>
    </row>
    <row r="650" spans="1:8" ht="14.25" customHeight="1">
      <c r="A650" s="174"/>
      <c r="B650" s="174"/>
      <c r="C650" s="174"/>
      <c r="D650" s="174"/>
      <c r="E650" s="174"/>
      <c r="F650" s="174"/>
      <c r="G650" s="174"/>
      <c r="H650" s="174"/>
    </row>
    <row r="651" spans="1:8" ht="14.25" customHeight="1">
      <c r="A651" s="174"/>
      <c r="B651" s="174"/>
      <c r="C651" s="174"/>
      <c r="D651" s="174"/>
      <c r="E651" s="174"/>
      <c r="F651" s="174"/>
      <c r="G651" s="174"/>
      <c r="H651" s="174"/>
    </row>
    <row r="652" spans="1:8" ht="14.25" customHeight="1">
      <c r="A652" s="174"/>
      <c r="B652" s="174"/>
      <c r="C652" s="174"/>
      <c r="D652" s="174"/>
      <c r="E652" s="174"/>
      <c r="F652" s="174"/>
      <c r="G652" s="174"/>
      <c r="H652" s="174"/>
    </row>
    <row r="653" spans="1:8" ht="14.25" customHeight="1">
      <c r="A653" s="174"/>
      <c r="B653" s="174"/>
      <c r="C653" s="174"/>
      <c r="D653" s="174"/>
      <c r="E653" s="174"/>
      <c r="F653" s="174"/>
      <c r="G653" s="174"/>
      <c r="H653" s="174"/>
    </row>
    <row r="654" spans="1:8" ht="14.25" customHeight="1">
      <c r="A654" s="174"/>
      <c r="B654" s="174"/>
      <c r="C654" s="174"/>
      <c r="D654" s="174"/>
      <c r="E654" s="174"/>
      <c r="F654" s="174"/>
      <c r="G654" s="174"/>
      <c r="H654" s="174"/>
    </row>
    <row r="655" spans="1:8" ht="14.25" customHeight="1">
      <c r="A655" s="174"/>
      <c r="B655" s="174"/>
      <c r="C655" s="174"/>
      <c r="D655" s="174"/>
      <c r="E655" s="174"/>
      <c r="F655" s="174"/>
      <c r="G655" s="174"/>
      <c r="H655" s="174"/>
    </row>
    <row r="656" spans="1:8" ht="14.25" customHeight="1">
      <c r="A656" s="174"/>
      <c r="B656" s="174"/>
      <c r="C656" s="174"/>
      <c r="D656" s="174"/>
      <c r="E656" s="174"/>
      <c r="F656" s="174"/>
      <c r="G656" s="174"/>
      <c r="H656" s="174"/>
    </row>
    <row r="657" spans="1:8" ht="14.25" customHeight="1">
      <c r="A657" s="174"/>
      <c r="B657" s="174"/>
      <c r="C657" s="174"/>
      <c r="D657" s="174"/>
      <c r="E657" s="174"/>
      <c r="F657" s="174"/>
      <c r="G657" s="174"/>
      <c r="H657" s="174"/>
    </row>
    <row r="658" spans="1:8" ht="14.25" customHeight="1">
      <c r="A658" s="174"/>
      <c r="B658" s="174"/>
      <c r="C658" s="174"/>
      <c r="D658" s="174"/>
      <c r="E658" s="174"/>
      <c r="F658" s="174"/>
      <c r="G658" s="174"/>
      <c r="H658" s="174"/>
    </row>
    <row r="659" spans="1:8" ht="14.25" customHeight="1">
      <c r="A659" s="174"/>
      <c r="B659" s="174"/>
      <c r="C659" s="174"/>
      <c r="D659" s="174"/>
      <c r="E659" s="174"/>
      <c r="F659" s="174"/>
      <c r="G659" s="174"/>
      <c r="H659" s="174"/>
    </row>
    <row r="660" spans="1:8" ht="14.25" customHeight="1">
      <c r="A660" s="174"/>
      <c r="B660" s="174"/>
      <c r="C660" s="174"/>
      <c r="D660" s="174"/>
      <c r="E660" s="174"/>
      <c r="F660" s="174"/>
      <c r="G660" s="174"/>
      <c r="H660" s="174"/>
    </row>
    <row r="661" spans="1:8" ht="14.25" customHeight="1">
      <c r="A661" s="174"/>
      <c r="B661" s="174"/>
      <c r="C661" s="174"/>
      <c r="D661" s="174"/>
      <c r="E661" s="174"/>
      <c r="F661" s="174"/>
      <c r="G661" s="174"/>
      <c r="H661" s="174"/>
    </row>
    <row r="662" spans="1:8" ht="14.25" customHeight="1">
      <c r="A662" s="174"/>
      <c r="B662" s="174"/>
      <c r="C662" s="174"/>
      <c r="D662" s="174"/>
      <c r="E662" s="174"/>
      <c r="F662" s="174"/>
      <c r="G662" s="174"/>
      <c r="H662" s="174"/>
    </row>
    <row r="663" spans="1:8" ht="14.25" customHeight="1">
      <c r="A663" s="174"/>
      <c r="B663" s="174"/>
      <c r="C663" s="174"/>
      <c r="D663" s="174"/>
      <c r="E663" s="174"/>
      <c r="F663" s="174"/>
      <c r="G663" s="174"/>
      <c r="H663" s="174"/>
    </row>
    <row r="664" spans="1:8" ht="14.25" customHeight="1">
      <c r="A664" s="174"/>
      <c r="B664" s="174"/>
      <c r="C664" s="174"/>
      <c r="D664" s="174"/>
      <c r="E664" s="174"/>
      <c r="F664" s="174"/>
      <c r="G664" s="174"/>
      <c r="H664" s="174"/>
    </row>
    <row r="665" spans="1:8" ht="14.25" customHeight="1">
      <c r="A665" s="174"/>
      <c r="B665" s="174"/>
      <c r="C665" s="174"/>
      <c r="D665" s="174"/>
      <c r="E665" s="174"/>
      <c r="F665" s="174"/>
      <c r="G665" s="174"/>
      <c r="H665" s="174"/>
    </row>
    <row r="666" spans="1:8" ht="14.25" customHeight="1">
      <c r="A666" s="174"/>
      <c r="B666" s="174"/>
      <c r="C666" s="174"/>
      <c r="D666" s="174"/>
      <c r="E666" s="174"/>
      <c r="F666" s="174"/>
      <c r="G666" s="174"/>
      <c r="H666" s="174"/>
    </row>
    <row r="667" spans="1:8" ht="14.25" customHeight="1">
      <c r="A667" s="174"/>
      <c r="B667" s="174"/>
      <c r="C667" s="174"/>
      <c r="D667" s="174"/>
      <c r="E667" s="174"/>
      <c r="F667" s="174"/>
      <c r="G667" s="174"/>
      <c r="H667" s="174"/>
    </row>
    <row r="668" spans="1:8" ht="14.25" customHeight="1">
      <c r="A668" s="174"/>
      <c r="B668" s="174"/>
      <c r="C668" s="174"/>
      <c r="D668" s="174"/>
      <c r="E668" s="174"/>
      <c r="F668" s="174"/>
      <c r="G668" s="174"/>
      <c r="H668" s="174"/>
    </row>
    <row r="669" spans="1:8" ht="14.25" customHeight="1">
      <c r="A669" s="174"/>
      <c r="B669" s="174"/>
      <c r="C669" s="174"/>
      <c r="D669" s="174"/>
      <c r="E669" s="174"/>
      <c r="F669" s="174"/>
      <c r="G669" s="174"/>
      <c r="H669" s="174"/>
    </row>
    <row r="670" spans="1:8" ht="14.25" customHeight="1">
      <c r="A670" s="174"/>
      <c r="B670" s="174"/>
      <c r="C670" s="174"/>
      <c r="D670" s="174"/>
      <c r="E670" s="174"/>
      <c r="F670" s="174"/>
      <c r="G670" s="174"/>
      <c r="H670" s="174"/>
    </row>
    <row r="671" spans="1:8" ht="14.25" customHeight="1">
      <c r="A671" s="174"/>
      <c r="B671" s="174"/>
      <c r="C671" s="174"/>
      <c r="D671" s="174"/>
      <c r="E671" s="174"/>
      <c r="F671" s="174"/>
      <c r="G671" s="174"/>
      <c r="H671" s="174"/>
    </row>
    <row r="672" spans="1:8" ht="14.25" customHeight="1">
      <c r="A672" s="174"/>
      <c r="B672" s="174"/>
      <c r="C672" s="174"/>
      <c r="D672" s="174"/>
      <c r="E672" s="174"/>
      <c r="F672" s="174"/>
      <c r="G672" s="174"/>
      <c r="H672" s="174"/>
    </row>
    <row r="673" spans="1:8" ht="14.25" customHeight="1">
      <c r="A673" s="174"/>
      <c r="B673" s="174"/>
      <c r="C673" s="174"/>
      <c r="D673" s="174"/>
      <c r="E673" s="174"/>
      <c r="F673" s="174"/>
      <c r="G673" s="174"/>
      <c r="H673" s="174"/>
    </row>
    <row r="674" spans="1:8" ht="14.25" customHeight="1">
      <c r="A674" s="174"/>
      <c r="B674" s="174"/>
      <c r="C674" s="174"/>
      <c r="D674" s="174"/>
      <c r="E674" s="174"/>
      <c r="F674" s="174"/>
      <c r="G674" s="174"/>
      <c r="H674" s="174"/>
    </row>
    <row r="675" spans="1:8" ht="14.25" customHeight="1">
      <c r="A675" s="174"/>
      <c r="B675" s="174"/>
      <c r="C675" s="174"/>
      <c r="D675" s="174"/>
      <c r="E675" s="174"/>
      <c r="F675" s="174"/>
      <c r="G675" s="174"/>
      <c r="H675" s="174"/>
    </row>
    <row r="676" spans="1:8" ht="14.25" customHeight="1">
      <c r="A676" s="174"/>
      <c r="B676" s="174"/>
      <c r="C676" s="174"/>
      <c r="D676" s="174"/>
      <c r="E676" s="174"/>
      <c r="F676" s="174"/>
      <c r="G676" s="174"/>
      <c r="H676" s="174"/>
    </row>
    <row r="677" spans="1:8" ht="14.25" customHeight="1">
      <c r="A677" s="174"/>
      <c r="B677" s="174"/>
      <c r="C677" s="174"/>
      <c r="D677" s="174"/>
      <c r="E677" s="174"/>
      <c r="F677" s="174"/>
      <c r="G677" s="174"/>
      <c r="H677" s="174"/>
    </row>
    <row r="678" spans="1:8" ht="14.25" customHeight="1">
      <c r="A678" s="174"/>
      <c r="B678" s="174"/>
      <c r="C678" s="174"/>
      <c r="D678" s="174"/>
      <c r="E678" s="174"/>
      <c r="F678" s="174"/>
      <c r="G678" s="174"/>
      <c r="H678" s="174"/>
    </row>
    <row r="679" spans="1:8" ht="14.25" customHeight="1">
      <c r="A679" s="174"/>
      <c r="B679" s="174"/>
      <c r="C679" s="174"/>
      <c r="D679" s="174"/>
      <c r="E679" s="174"/>
      <c r="F679" s="174"/>
      <c r="G679" s="174"/>
      <c r="H679" s="174"/>
    </row>
    <row r="680" spans="1:8" ht="14.25" customHeight="1">
      <c r="A680" s="174"/>
      <c r="B680" s="174"/>
      <c r="C680" s="174"/>
      <c r="D680" s="174"/>
      <c r="E680" s="174"/>
      <c r="F680" s="174"/>
      <c r="G680" s="174"/>
      <c r="H680" s="174"/>
    </row>
    <row r="681" spans="1:8" ht="14.25" customHeight="1">
      <c r="A681" s="174"/>
      <c r="B681" s="174"/>
      <c r="C681" s="174"/>
      <c r="D681" s="174"/>
      <c r="E681" s="174"/>
      <c r="F681" s="174"/>
      <c r="G681" s="174"/>
      <c r="H681" s="174"/>
    </row>
    <row r="682" spans="1:8" ht="14.25" customHeight="1">
      <c r="A682" s="174"/>
      <c r="B682" s="174"/>
      <c r="C682" s="174"/>
      <c r="D682" s="174"/>
      <c r="E682" s="174"/>
      <c r="F682" s="174"/>
      <c r="G682" s="174"/>
      <c r="H682" s="174"/>
    </row>
    <row r="683" spans="1:8" ht="14.25" customHeight="1">
      <c r="A683" s="174"/>
      <c r="B683" s="174"/>
      <c r="C683" s="174"/>
      <c r="D683" s="174"/>
      <c r="E683" s="174"/>
      <c r="F683" s="174"/>
      <c r="G683" s="174"/>
      <c r="H683" s="174"/>
    </row>
    <row r="684" spans="1:8" ht="14.25" customHeight="1">
      <c r="A684" s="174"/>
      <c r="B684" s="174"/>
      <c r="C684" s="174"/>
      <c r="D684" s="174"/>
      <c r="E684" s="174"/>
      <c r="F684" s="174"/>
      <c r="G684" s="174"/>
      <c r="H684" s="174"/>
    </row>
    <row r="685" spans="1:8" ht="14.25" customHeight="1">
      <c r="A685" s="174"/>
      <c r="B685" s="174"/>
      <c r="C685" s="174"/>
      <c r="D685" s="174"/>
      <c r="E685" s="174"/>
      <c r="F685" s="174"/>
      <c r="G685" s="174"/>
      <c r="H685" s="174"/>
    </row>
    <row r="686" spans="1:8" ht="14.25" customHeight="1">
      <c r="A686" s="174"/>
      <c r="B686" s="174"/>
      <c r="C686" s="174"/>
      <c r="D686" s="174"/>
      <c r="E686" s="174"/>
      <c r="F686" s="174"/>
      <c r="G686" s="174"/>
      <c r="H686" s="174"/>
    </row>
    <row r="687" spans="1:8" ht="14.25" customHeight="1">
      <c r="A687" s="174"/>
      <c r="B687" s="174"/>
      <c r="C687" s="174"/>
      <c r="D687" s="174"/>
      <c r="E687" s="174"/>
      <c r="F687" s="174"/>
      <c r="G687" s="174"/>
      <c r="H687" s="174"/>
    </row>
    <row r="688" spans="1:8" ht="14.25" customHeight="1">
      <c r="A688" s="174"/>
      <c r="B688" s="174"/>
      <c r="C688" s="174"/>
      <c r="D688" s="174"/>
      <c r="E688" s="174"/>
      <c r="F688" s="174"/>
      <c r="G688" s="174"/>
      <c r="H688" s="174"/>
    </row>
    <row r="689" spans="1:8" ht="14.25" customHeight="1">
      <c r="A689" s="174"/>
      <c r="B689" s="174"/>
      <c r="C689" s="174"/>
      <c r="D689" s="174"/>
      <c r="E689" s="174"/>
      <c r="F689" s="174"/>
      <c r="G689" s="174"/>
      <c r="H689" s="174"/>
    </row>
    <row r="690" spans="1:8" ht="14.25" customHeight="1">
      <c r="A690" s="174"/>
      <c r="B690" s="174"/>
      <c r="C690" s="174"/>
      <c r="D690" s="174"/>
      <c r="E690" s="174"/>
      <c r="F690" s="174"/>
      <c r="G690" s="174"/>
      <c r="H690" s="174"/>
    </row>
    <row r="691" spans="1:8" ht="14.25" customHeight="1">
      <c r="A691" s="174"/>
      <c r="B691" s="174"/>
      <c r="C691" s="174"/>
      <c r="D691" s="174"/>
      <c r="E691" s="174"/>
      <c r="F691" s="174"/>
      <c r="G691" s="174"/>
      <c r="H691" s="174"/>
    </row>
    <row r="692" spans="1:8" ht="14.25" customHeight="1">
      <c r="A692" s="174"/>
      <c r="B692" s="174"/>
      <c r="C692" s="174"/>
      <c r="D692" s="174"/>
      <c r="E692" s="174"/>
      <c r="F692" s="174"/>
      <c r="G692" s="174"/>
      <c r="H692" s="174"/>
    </row>
    <row r="693" spans="1:8" ht="14.25" customHeight="1">
      <c r="A693" s="174"/>
      <c r="B693" s="174"/>
      <c r="C693" s="174"/>
      <c r="D693" s="174"/>
      <c r="E693" s="174"/>
      <c r="F693" s="174"/>
      <c r="G693" s="174"/>
      <c r="H693" s="174"/>
    </row>
    <row r="694" spans="1:8" ht="14.25" customHeight="1">
      <c r="A694" s="174"/>
      <c r="B694" s="174"/>
      <c r="C694" s="174"/>
      <c r="D694" s="174"/>
      <c r="E694" s="174"/>
      <c r="F694" s="174"/>
      <c r="G694" s="174"/>
      <c r="H694" s="174"/>
    </row>
    <row r="695" spans="1:8" ht="14.25" customHeight="1">
      <c r="A695" s="174"/>
      <c r="B695" s="174"/>
      <c r="C695" s="174"/>
      <c r="D695" s="174"/>
      <c r="E695" s="174"/>
      <c r="F695" s="174"/>
      <c r="G695" s="174"/>
      <c r="H695" s="174"/>
    </row>
    <row r="696" spans="1:8" ht="14.25" customHeight="1">
      <c r="A696" s="174"/>
      <c r="B696" s="174"/>
      <c r="C696" s="174"/>
      <c r="D696" s="174"/>
      <c r="E696" s="174"/>
      <c r="F696" s="174"/>
      <c r="G696" s="174"/>
      <c r="H696" s="174"/>
    </row>
    <row r="697" spans="1:8" ht="14.25" customHeight="1">
      <c r="A697" s="174"/>
      <c r="B697" s="174"/>
      <c r="C697" s="174"/>
      <c r="D697" s="174"/>
      <c r="E697" s="174"/>
      <c r="F697" s="174"/>
      <c r="G697" s="174"/>
      <c r="H697" s="174"/>
    </row>
    <row r="698" spans="1:8" ht="14.25" customHeight="1">
      <c r="A698" s="174"/>
      <c r="B698" s="174"/>
      <c r="C698" s="174"/>
      <c r="D698" s="174"/>
      <c r="E698" s="174"/>
      <c r="F698" s="174"/>
      <c r="G698" s="174"/>
      <c r="H698" s="174"/>
    </row>
    <row r="699" spans="1:8" ht="14.25" customHeight="1">
      <c r="A699" s="174"/>
      <c r="B699" s="174"/>
      <c r="C699" s="174"/>
      <c r="D699" s="174"/>
      <c r="E699" s="174"/>
      <c r="F699" s="174"/>
      <c r="G699" s="174"/>
      <c r="H699" s="174"/>
    </row>
    <row r="700" spans="1:8" ht="14.25" customHeight="1">
      <c r="A700" s="174"/>
      <c r="B700" s="174"/>
      <c r="C700" s="174"/>
      <c r="D700" s="174"/>
      <c r="E700" s="174"/>
      <c r="F700" s="174"/>
      <c r="G700" s="174"/>
      <c r="H700" s="174"/>
    </row>
    <row r="701" spans="1:8" ht="14.25" customHeight="1">
      <c r="A701" s="174"/>
      <c r="B701" s="174"/>
      <c r="C701" s="174"/>
      <c r="D701" s="174"/>
      <c r="E701" s="174"/>
      <c r="F701" s="174"/>
      <c r="G701" s="174"/>
      <c r="H701" s="174"/>
    </row>
    <row r="702" spans="1:8" ht="14.25" customHeight="1">
      <c r="A702" s="174"/>
      <c r="B702" s="174"/>
      <c r="C702" s="174"/>
      <c r="D702" s="174"/>
      <c r="E702" s="174"/>
      <c r="F702" s="174"/>
      <c r="G702" s="174"/>
      <c r="H702" s="174"/>
    </row>
    <row r="703" spans="1:8" ht="14.25" customHeight="1">
      <c r="A703" s="174"/>
      <c r="B703" s="174"/>
      <c r="C703" s="174"/>
      <c r="D703" s="174"/>
      <c r="E703" s="174"/>
      <c r="F703" s="174"/>
      <c r="G703" s="174"/>
      <c r="H703" s="174"/>
    </row>
    <row r="704" spans="1:8" ht="14.25" customHeight="1">
      <c r="A704" s="174"/>
      <c r="B704" s="174"/>
      <c r="C704" s="174"/>
      <c r="D704" s="174"/>
      <c r="E704" s="174"/>
      <c r="F704" s="174"/>
      <c r="G704" s="174"/>
      <c r="H704" s="174"/>
    </row>
    <row r="705" spans="1:8" ht="14.25" customHeight="1">
      <c r="A705" s="174"/>
      <c r="B705" s="174"/>
      <c r="C705" s="174"/>
      <c r="D705" s="174"/>
      <c r="E705" s="174"/>
      <c r="F705" s="174"/>
      <c r="G705" s="174"/>
      <c r="H705" s="174"/>
    </row>
    <row r="706" spans="1:8" ht="14.25" customHeight="1">
      <c r="A706" s="174"/>
      <c r="B706" s="174"/>
      <c r="C706" s="174"/>
      <c r="D706" s="174"/>
      <c r="E706" s="174"/>
      <c r="F706" s="174"/>
      <c r="G706" s="174"/>
      <c r="H706" s="174"/>
    </row>
    <row r="707" spans="1:8" ht="14.25" customHeight="1">
      <c r="A707" s="174"/>
      <c r="B707" s="174"/>
      <c r="C707" s="174"/>
      <c r="D707" s="174"/>
      <c r="E707" s="174"/>
      <c r="F707" s="174"/>
      <c r="G707" s="174"/>
      <c r="H707" s="174"/>
    </row>
    <row r="708" spans="1:8" ht="14.25" customHeight="1">
      <c r="A708" s="174"/>
      <c r="B708" s="174"/>
      <c r="C708" s="174"/>
      <c r="D708" s="174"/>
      <c r="E708" s="174"/>
      <c r="F708" s="174"/>
      <c r="G708" s="174"/>
      <c r="H708" s="174"/>
    </row>
    <row r="709" spans="1:8" ht="14.25" customHeight="1">
      <c r="A709" s="174"/>
      <c r="B709" s="174"/>
      <c r="C709" s="174"/>
      <c r="D709" s="174"/>
      <c r="E709" s="174"/>
      <c r="F709" s="174"/>
      <c r="G709" s="174"/>
      <c r="H709" s="174"/>
    </row>
    <row r="710" spans="1:8" ht="14.25" customHeight="1">
      <c r="A710" s="174"/>
      <c r="B710" s="174"/>
      <c r="C710" s="174"/>
      <c r="D710" s="174"/>
      <c r="E710" s="174"/>
      <c r="F710" s="174"/>
      <c r="G710" s="174"/>
      <c r="H710" s="174"/>
    </row>
    <row r="711" spans="1:8" ht="14.25" customHeight="1">
      <c r="A711" s="174"/>
      <c r="B711" s="174"/>
      <c r="C711" s="174"/>
      <c r="D711" s="174"/>
      <c r="E711" s="174"/>
      <c r="F711" s="174"/>
      <c r="G711" s="174"/>
      <c r="H711" s="174"/>
    </row>
    <row r="712" spans="1:8" ht="14.25" customHeight="1">
      <c r="A712" s="174"/>
      <c r="B712" s="174"/>
      <c r="C712" s="174"/>
      <c r="D712" s="174"/>
      <c r="E712" s="174"/>
      <c r="F712" s="174"/>
      <c r="G712" s="174"/>
      <c r="H712" s="174"/>
    </row>
    <row r="713" spans="1:8" ht="14.25" customHeight="1">
      <c r="A713" s="174"/>
      <c r="B713" s="174"/>
      <c r="C713" s="174"/>
      <c r="D713" s="174"/>
      <c r="E713" s="174"/>
      <c r="F713" s="174"/>
      <c r="G713" s="174"/>
      <c r="H713" s="174"/>
    </row>
    <row r="714" spans="1:8" ht="14.25" customHeight="1">
      <c r="A714" s="174"/>
      <c r="B714" s="174"/>
      <c r="C714" s="174"/>
      <c r="D714" s="174"/>
      <c r="E714" s="174"/>
      <c r="F714" s="174"/>
      <c r="G714" s="174"/>
      <c r="H714" s="174"/>
    </row>
    <row r="715" spans="1:8" ht="14.25" customHeight="1">
      <c r="A715" s="174"/>
      <c r="B715" s="174"/>
      <c r="C715" s="174"/>
      <c r="D715" s="174"/>
      <c r="E715" s="174"/>
      <c r="F715" s="174"/>
      <c r="G715" s="174"/>
      <c r="H715" s="174"/>
    </row>
    <row r="716" spans="1:8" ht="14.25" customHeight="1">
      <c r="A716" s="174"/>
      <c r="B716" s="174"/>
      <c r="C716" s="174"/>
      <c r="D716" s="174"/>
      <c r="E716" s="174"/>
      <c r="F716" s="174"/>
      <c r="G716" s="174"/>
      <c r="H716" s="174"/>
    </row>
    <row r="717" spans="1:8" ht="14.25" customHeight="1">
      <c r="A717" s="174"/>
      <c r="B717" s="174"/>
      <c r="C717" s="174"/>
      <c r="D717" s="174"/>
      <c r="E717" s="174"/>
      <c r="F717" s="174"/>
      <c r="G717" s="174"/>
      <c r="H717" s="174"/>
    </row>
    <row r="718" spans="1:8" ht="14.25" customHeight="1">
      <c r="A718" s="174"/>
      <c r="B718" s="174"/>
      <c r="C718" s="174"/>
      <c r="D718" s="174"/>
      <c r="E718" s="174"/>
      <c r="F718" s="174"/>
      <c r="G718" s="174"/>
      <c r="H718" s="174"/>
    </row>
    <row r="719" spans="1:8" ht="14.25" customHeight="1">
      <c r="A719" s="174"/>
      <c r="B719" s="174"/>
      <c r="C719" s="174"/>
      <c r="D719" s="174"/>
      <c r="E719" s="174"/>
      <c r="F719" s="174"/>
      <c r="G719" s="174"/>
      <c r="H719" s="174"/>
    </row>
    <row r="720" spans="1:8" ht="14.25" customHeight="1">
      <c r="A720" s="174"/>
      <c r="B720" s="174"/>
      <c r="C720" s="174"/>
      <c r="D720" s="174"/>
      <c r="E720" s="174"/>
      <c r="F720" s="174"/>
      <c r="G720" s="174"/>
      <c r="H720" s="174"/>
    </row>
    <row r="721" spans="1:8" ht="14.25" customHeight="1">
      <c r="A721" s="174"/>
      <c r="B721" s="174"/>
      <c r="C721" s="174"/>
      <c r="D721" s="174"/>
      <c r="E721" s="174"/>
      <c r="F721" s="174"/>
      <c r="G721" s="174"/>
      <c r="H721" s="174"/>
    </row>
    <row r="722" spans="1:8" ht="14.25" customHeight="1">
      <c r="A722" s="174"/>
      <c r="B722" s="174"/>
      <c r="C722" s="174"/>
      <c r="D722" s="174"/>
      <c r="E722" s="174"/>
      <c r="F722" s="174"/>
      <c r="G722" s="174"/>
      <c r="H722" s="174"/>
    </row>
    <row r="723" spans="1:8" ht="14.25" customHeight="1">
      <c r="A723" s="174"/>
      <c r="B723" s="174"/>
      <c r="C723" s="174"/>
      <c r="D723" s="174"/>
      <c r="E723" s="174"/>
      <c r="F723" s="174"/>
      <c r="G723" s="174"/>
      <c r="H723" s="174"/>
    </row>
    <row r="724" spans="1:8" ht="14.25" customHeight="1">
      <c r="A724" s="174"/>
      <c r="B724" s="174"/>
      <c r="C724" s="174"/>
      <c r="D724" s="174"/>
      <c r="E724" s="174"/>
      <c r="F724" s="174"/>
      <c r="G724" s="174"/>
      <c r="H724" s="174"/>
    </row>
    <row r="725" spans="1:8" ht="14.25" customHeight="1">
      <c r="A725" s="174"/>
      <c r="B725" s="174"/>
      <c r="C725" s="174"/>
      <c r="D725" s="174"/>
      <c r="E725" s="174"/>
      <c r="F725" s="174"/>
      <c r="G725" s="174"/>
      <c r="H725" s="174"/>
    </row>
    <row r="726" spans="1:8" ht="14.25" customHeight="1">
      <c r="A726" s="174"/>
      <c r="B726" s="174"/>
      <c r="C726" s="174"/>
      <c r="D726" s="174"/>
      <c r="E726" s="174"/>
      <c r="F726" s="174"/>
      <c r="G726" s="174"/>
      <c r="H726" s="174"/>
    </row>
    <row r="727" spans="1:8" ht="14.25" customHeight="1">
      <c r="A727" s="174"/>
      <c r="B727" s="174"/>
      <c r="C727" s="174"/>
      <c r="D727" s="174"/>
      <c r="E727" s="174"/>
      <c r="F727" s="174"/>
      <c r="G727" s="174"/>
      <c r="H727" s="174"/>
    </row>
    <row r="728" spans="1:8" ht="14.25" customHeight="1">
      <c r="A728" s="174"/>
      <c r="B728" s="174"/>
      <c r="C728" s="174"/>
      <c r="D728" s="174"/>
      <c r="E728" s="174"/>
      <c r="F728" s="174"/>
      <c r="G728" s="174"/>
      <c r="H728" s="174"/>
    </row>
    <row r="729" spans="1:8" ht="14.25" customHeight="1">
      <c r="A729" s="174"/>
      <c r="B729" s="174"/>
      <c r="C729" s="174"/>
      <c r="D729" s="174"/>
      <c r="E729" s="174"/>
      <c r="F729" s="174"/>
      <c r="G729" s="174"/>
      <c r="H729" s="174"/>
    </row>
    <row r="730" spans="1:8" ht="14.25" customHeight="1">
      <c r="A730" s="174"/>
      <c r="B730" s="174"/>
      <c r="C730" s="174"/>
      <c r="D730" s="174"/>
      <c r="E730" s="174"/>
      <c r="F730" s="174"/>
      <c r="G730" s="174"/>
      <c r="H730" s="174"/>
    </row>
    <row r="731" spans="1:8" ht="14.25" customHeight="1">
      <c r="A731" s="174"/>
      <c r="B731" s="174"/>
      <c r="C731" s="174"/>
      <c r="D731" s="174"/>
      <c r="E731" s="174"/>
      <c r="F731" s="174"/>
      <c r="G731" s="174"/>
      <c r="H731" s="174"/>
    </row>
    <row r="732" spans="1:8" ht="14.25" customHeight="1">
      <c r="A732" s="174"/>
      <c r="B732" s="174"/>
      <c r="C732" s="174"/>
      <c r="D732" s="174"/>
      <c r="E732" s="174"/>
      <c r="F732" s="174"/>
      <c r="G732" s="174"/>
      <c r="H732" s="174"/>
    </row>
    <row r="733" spans="1:8" ht="14.25" customHeight="1">
      <c r="A733" s="174"/>
      <c r="B733" s="174"/>
      <c r="C733" s="174"/>
      <c r="D733" s="174"/>
      <c r="E733" s="174"/>
      <c r="F733" s="174"/>
      <c r="G733" s="174"/>
      <c r="H733" s="174"/>
    </row>
    <row r="734" spans="1:8" ht="14.25" customHeight="1">
      <c r="A734" s="174"/>
      <c r="B734" s="174"/>
      <c r="C734" s="174"/>
      <c r="D734" s="174"/>
      <c r="E734" s="174"/>
      <c r="F734" s="174"/>
      <c r="G734" s="174"/>
      <c r="H734" s="174"/>
    </row>
    <row r="735" spans="1:8" ht="14.25" customHeight="1">
      <c r="A735" s="174"/>
      <c r="B735" s="174"/>
      <c r="C735" s="174"/>
      <c r="D735" s="174"/>
      <c r="E735" s="174"/>
      <c r="F735" s="174"/>
      <c r="G735" s="174"/>
      <c r="H735" s="174"/>
    </row>
    <row r="736" spans="1:8" ht="14.25" customHeight="1">
      <c r="A736" s="174"/>
      <c r="B736" s="174"/>
      <c r="C736" s="174"/>
      <c r="D736" s="174"/>
      <c r="E736" s="174"/>
      <c r="F736" s="174"/>
      <c r="G736" s="174"/>
      <c r="H736" s="174"/>
    </row>
    <row r="737" spans="1:8" ht="14.25" customHeight="1">
      <c r="A737" s="174"/>
      <c r="B737" s="174"/>
      <c r="C737" s="174"/>
      <c r="D737" s="174"/>
      <c r="E737" s="174"/>
      <c r="F737" s="174"/>
      <c r="G737" s="174"/>
      <c r="H737" s="174"/>
    </row>
    <row r="738" spans="1:8" ht="14.25" customHeight="1">
      <c r="A738" s="174"/>
      <c r="B738" s="174"/>
      <c r="C738" s="174"/>
      <c r="D738" s="174"/>
      <c r="E738" s="174"/>
      <c r="F738" s="174"/>
      <c r="G738" s="174"/>
      <c r="H738" s="174"/>
    </row>
    <row r="739" spans="1:8" ht="14.25" customHeight="1">
      <c r="A739" s="174"/>
      <c r="B739" s="174"/>
      <c r="C739" s="174"/>
      <c r="D739" s="174"/>
      <c r="E739" s="174"/>
      <c r="F739" s="174"/>
      <c r="G739" s="174"/>
      <c r="H739" s="174"/>
    </row>
    <row r="740" spans="1:8" ht="14.25" customHeight="1">
      <c r="A740" s="174"/>
      <c r="B740" s="174"/>
      <c r="C740" s="174"/>
      <c r="D740" s="174"/>
      <c r="E740" s="174"/>
      <c r="F740" s="174"/>
      <c r="G740" s="174"/>
      <c r="H740" s="174"/>
    </row>
    <row r="741" spans="1:8" ht="14.25" customHeight="1">
      <c r="A741" s="174"/>
      <c r="B741" s="174"/>
      <c r="C741" s="174"/>
      <c r="D741" s="174"/>
      <c r="E741" s="174"/>
      <c r="F741" s="174"/>
      <c r="G741" s="174"/>
      <c r="H741" s="174"/>
    </row>
    <row r="742" spans="1:8" ht="14.25" customHeight="1">
      <c r="A742" s="174"/>
      <c r="B742" s="174"/>
      <c r="C742" s="174"/>
      <c r="D742" s="174"/>
      <c r="E742" s="174"/>
      <c r="F742" s="174"/>
      <c r="G742" s="174"/>
      <c r="H742" s="174"/>
    </row>
    <row r="743" spans="1:8" ht="14.25" customHeight="1">
      <c r="A743" s="174"/>
      <c r="B743" s="174"/>
      <c r="C743" s="174"/>
      <c r="D743" s="174"/>
      <c r="E743" s="174"/>
      <c r="F743" s="174"/>
      <c r="G743" s="174"/>
      <c r="H743" s="174"/>
    </row>
    <row r="744" spans="1:8" ht="14.25" customHeight="1">
      <c r="A744" s="174"/>
      <c r="B744" s="174"/>
      <c r="C744" s="174"/>
      <c r="D744" s="174"/>
      <c r="E744" s="174"/>
      <c r="F744" s="174"/>
      <c r="G744" s="174"/>
      <c r="H744" s="174"/>
    </row>
    <row r="745" spans="1:8" ht="14.25" customHeight="1">
      <c r="A745" s="174"/>
      <c r="B745" s="174"/>
      <c r="C745" s="174"/>
      <c r="D745" s="174"/>
      <c r="E745" s="174"/>
      <c r="F745" s="174"/>
      <c r="G745" s="174"/>
      <c r="H745" s="174"/>
    </row>
    <row r="746" spans="1:8" ht="14.25" customHeight="1">
      <c r="A746" s="174"/>
      <c r="B746" s="174"/>
      <c r="C746" s="174"/>
      <c r="D746" s="174"/>
      <c r="E746" s="174"/>
      <c r="F746" s="174"/>
      <c r="G746" s="174"/>
      <c r="H746" s="174"/>
    </row>
    <row r="747" spans="1:8" ht="14.25" customHeight="1">
      <c r="A747" s="174"/>
      <c r="B747" s="174"/>
      <c r="C747" s="174"/>
      <c r="D747" s="174"/>
      <c r="E747" s="174"/>
      <c r="F747" s="174"/>
      <c r="G747" s="174"/>
      <c r="H747" s="174"/>
    </row>
    <row r="748" spans="1:8" ht="14.25" customHeight="1">
      <c r="A748" s="174"/>
      <c r="B748" s="174"/>
      <c r="C748" s="174"/>
      <c r="D748" s="174"/>
      <c r="E748" s="174"/>
      <c r="F748" s="174"/>
      <c r="G748" s="174"/>
      <c r="H748" s="174"/>
    </row>
    <row r="749" spans="1:8" ht="14.25" customHeight="1">
      <c r="A749" s="174"/>
      <c r="B749" s="174"/>
      <c r="C749" s="174"/>
      <c r="D749" s="174"/>
      <c r="E749" s="174"/>
      <c r="F749" s="174"/>
      <c r="G749" s="174"/>
      <c r="H749" s="174"/>
    </row>
    <row r="750" spans="1:8" ht="14.25" customHeight="1">
      <c r="A750" s="174"/>
      <c r="B750" s="174"/>
      <c r="C750" s="174"/>
      <c r="D750" s="174"/>
      <c r="E750" s="174"/>
      <c r="F750" s="174"/>
      <c r="G750" s="174"/>
      <c r="H750" s="174"/>
    </row>
    <row r="751" spans="1:8" ht="14.25" customHeight="1">
      <c r="A751" s="174"/>
      <c r="B751" s="174"/>
      <c r="C751" s="174"/>
      <c r="D751" s="174"/>
      <c r="E751" s="174"/>
      <c r="F751" s="174"/>
      <c r="G751" s="174"/>
      <c r="H751" s="174"/>
    </row>
    <row r="752" spans="1:8" ht="14.25" customHeight="1">
      <c r="A752" s="174"/>
      <c r="B752" s="174"/>
      <c r="C752" s="174"/>
      <c r="D752" s="174"/>
      <c r="E752" s="174"/>
      <c r="F752" s="174"/>
      <c r="G752" s="174"/>
      <c r="H752" s="174"/>
    </row>
    <row r="753" spans="1:8" ht="14.25" customHeight="1">
      <c r="A753" s="174"/>
      <c r="B753" s="174"/>
      <c r="C753" s="174"/>
      <c r="D753" s="174"/>
      <c r="E753" s="174"/>
      <c r="F753" s="174"/>
      <c r="G753" s="174"/>
      <c r="H753" s="174"/>
    </row>
    <row r="754" spans="1:8" ht="14.25" customHeight="1">
      <c r="A754" s="174"/>
      <c r="B754" s="174"/>
      <c r="C754" s="174"/>
      <c r="D754" s="174"/>
      <c r="E754" s="174"/>
      <c r="F754" s="174"/>
      <c r="G754" s="174"/>
      <c r="H754" s="174"/>
    </row>
    <row r="755" spans="1:8" ht="14.25" customHeight="1">
      <c r="A755" s="174"/>
      <c r="B755" s="174"/>
      <c r="C755" s="174"/>
      <c r="D755" s="174"/>
      <c r="E755" s="174"/>
      <c r="F755" s="174"/>
      <c r="G755" s="174"/>
      <c r="H755" s="174"/>
    </row>
    <row r="756" spans="1:8" ht="14.25" customHeight="1">
      <c r="A756" s="174"/>
      <c r="B756" s="174"/>
      <c r="C756" s="174"/>
      <c r="D756" s="174"/>
      <c r="E756" s="174"/>
      <c r="F756" s="174"/>
      <c r="G756" s="174"/>
      <c r="H756" s="174"/>
    </row>
    <row r="757" spans="1:8" ht="14.25" customHeight="1">
      <c r="A757" s="174"/>
      <c r="B757" s="174"/>
      <c r="C757" s="174"/>
      <c r="D757" s="174"/>
      <c r="E757" s="174"/>
      <c r="F757" s="174"/>
      <c r="G757" s="174"/>
      <c r="H757" s="174"/>
    </row>
    <row r="758" spans="1:8" ht="14.25" customHeight="1">
      <c r="A758" s="174"/>
      <c r="B758" s="174"/>
      <c r="C758" s="174"/>
      <c r="D758" s="174"/>
      <c r="E758" s="174"/>
      <c r="F758" s="174"/>
      <c r="G758" s="174"/>
      <c r="H758" s="174"/>
    </row>
    <row r="759" spans="1:8" ht="14.25" customHeight="1">
      <c r="A759" s="174"/>
      <c r="B759" s="174"/>
      <c r="C759" s="174"/>
      <c r="D759" s="174"/>
      <c r="E759" s="174"/>
      <c r="F759" s="174"/>
      <c r="G759" s="174"/>
      <c r="H759" s="174"/>
    </row>
    <row r="760" spans="1:8" ht="14.25" customHeight="1">
      <c r="A760" s="174"/>
      <c r="B760" s="174"/>
      <c r="C760" s="174"/>
      <c r="D760" s="174"/>
      <c r="E760" s="174"/>
      <c r="F760" s="174"/>
      <c r="G760" s="174"/>
      <c r="H760" s="174"/>
    </row>
    <row r="761" spans="1:8" ht="14.25" customHeight="1">
      <c r="A761" s="174"/>
      <c r="B761" s="174"/>
      <c r="C761" s="174"/>
      <c r="D761" s="174"/>
      <c r="E761" s="174"/>
      <c r="F761" s="174"/>
      <c r="G761" s="174"/>
      <c r="H761" s="174"/>
    </row>
    <row r="762" spans="1:8" ht="14.25" customHeight="1">
      <c r="A762" s="174"/>
      <c r="B762" s="174"/>
      <c r="C762" s="174"/>
      <c r="D762" s="174"/>
      <c r="E762" s="174"/>
      <c r="F762" s="174"/>
      <c r="G762" s="174"/>
      <c r="H762" s="174"/>
    </row>
    <row r="763" spans="1:8" ht="14.25" customHeight="1">
      <c r="A763" s="174"/>
      <c r="B763" s="174"/>
      <c r="C763" s="174"/>
      <c r="D763" s="174"/>
      <c r="E763" s="174"/>
      <c r="F763" s="174"/>
      <c r="G763" s="174"/>
      <c r="H763" s="174"/>
    </row>
    <row r="764" spans="1:8" ht="14.25" customHeight="1">
      <c r="A764" s="174"/>
      <c r="B764" s="174"/>
      <c r="C764" s="174"/>
      <c r="D764" s="174"/>
      <c r="E764" s="174"/>
      <c r="F764" s="174"/>
      <c r="G764" s="174"/>
      <c r="H764" s="174"/>
    </row>
    <row r="765" spans="1:8" ht="14.25" customHeight="1">
      <c r="A765" s="174"/>
      <c r="B765" s="174"/>
      <c r="C765" s="174"/>
      <c r="D765" s="174"/>
      <c r="E765" s="174"/>
      <c r="F765" s="174"/>
      <c r="G765" s="174"/>
      <c r="H765" s="174"/>
    </row>
    <row r="766" spans="1:8" ht="14.25" customHeight="1">
      <c r="A766" s="174"/>
      <c r="B766" s="174"/>
      <c r="C766" s="174"/>
      <c r="D766" s="174"/>
      <c r="E766" s="174"/>
      <c r="F766" s="174"/>
      <c r="G766" s="174"/>
      <c r="H766" s="174"/>
    </row>
    <row r="767" spans="1:8" ht="14.25" customHeight="1">
      <c r="A767" s="174"/>
      <c r="B767" s="174"/>
      <c r="C767" s="174"/>
      <c r="D767" s="174"/>
      <c r="E767" s="174"/>
      <c r="F767" s="174"/>
      <c r="G767" s="174"/>
      <c r="H767" s="174"/>
    </row>
    <row r="768" spans="1:8" ht="14.25" customHeight="1">
      <c r="A768" s="174"/>
      <c r="B768" s="174"/>
      <c r="C768" s="174"/>
      <c r="D768" s="174"/>
      <c r="E768" s="174"/>
      <c r="F768" s="174"/>
      <c r="G768" s="174"/>
      <c r="H768" s="174"/>
    </row>
    <row r="769" spans="1:8" ht="14.25" customHeight="1">
      <c r="A769" s="174"/>
      <c r="B769" s="174"/>
      <c r="C769" s="174"/>
      <c r="D769" s="174"/>
      <c r="E769" s="174"/>
      <c r="F769" s="174"/>
      <c r="G769" s="174"/>
      <c r="H769" s="174"/>
    </row>
    <row r="770" spans="1:8" ht="14.25" customHeight="1">
      <c r="A770" s="174"/>
      <c r="B770" s="174"/>
      <c r="C770" s="174"/>
      <c r="D770" s="174"/>
      <c r="E770" s="174"/>
      <c r="F770" s="174"/>
      <c r="G770" s="174"/>
      <c r="H770" s="174"/>
    </row>
    <row r="771" spans="1:8" ht="14.25" customHeight="1">
      <c r="A771" s="174"/>
      <c r="B771" s="174"/>
      <c r="C771" s="174"/>
      <c r="D771" s="174"/>
      <c r="E771" s="174"/>
      <c r="F771" s="174"/>
      <c r="G771" s="174"/>
      <c r="H771" s="174"/>
    </row>
    <row r="772" spans="1:8" ht="14.25" customHeight="1">
      <c r="A772" s="174"/>
      <c r="B772" s="174"/>
      <c r="C772" s="174"/>
      <c r="D772" s="174"/>
      <c r="E772" s="174"/>
      <c r="F772" s="174"/>
      <c r="G772" s="174"/>
      <c r="H772" s="174"/>
    </row>
    <row r="773" spans="1:8" ht="14.25" customHeight="1">
      <c r="A773" s="174"/>
      <c r="B773" s="174"/>
      <c r="C773" s="174"/>
      <c r="D773" s="174"/>
      <c r="E773" s="174"/>
      <c r="F773" s="174"/>
      <c r="G773" s="174"/>
      <c r="H773" s="174"/>
    </row>
    <row r="774" spans="1:8" ht="14.25" customHeight="1">
      <c r="A774" s="174"/>
      <c r="B774" s="174"/>
      <c r="C774" s="174"/>
      <c r="D774" s="174"/>
      <c r="E774" s="174"/>
      <c r="F774" s="174"/>
      <c r="G774" s="174"/>
      <c r="H774" s="174"/>
    </row>
    <row r="775" spans="1:8" ht="14.25" customHeight="1">
      <c r="A775" s="174"/>
      <c r="B775" s="174"/>
      <c r="C775" s="174"/>
      <c r="D775" s="174"/>
      <c r="E775" s="174"/>
      <c r="F775" s="174"/>
      <c r="G775" s="174"/>
      <c r="H775" s="174"/>
    </row>
    <row r="776" spans="1:8" ht="14.25" customHeight="1">
      <c r="A776" s="174"/>
      <c r="B776" s="174"/>
      <c r="C776" s="174"/>
      <c r="D776" s="174"/>
      <c r="E776" s="174"/>
      <c r="F776" s="174"/>
      <c r="G776" s="174"/>
      <c r="H776" s="174"/>
    </row>
    <row r="777" spans="1:8" ht="14.25" customHeight="1">
      <c r="A777" s="174"/>
      <c r="B777" s="174"/>
      <c r="C777" s="174"/>
      <c r="D777" s="174"/>
      <c r="E777" s="174"/>
      <c r="F777" s="174"/>
      <c r="G777" s="174"/>
      <c r="H777" s="174"/>
    </row>
    <row r="778" spans="1:8" ht="14.25" customHeight="1">
      <c r="A778" s="174"/>
      <c r="B778" s="174"/>
      <c r="C778" s="174"/>
      <c r="D778" s="174"/>
      <c r="E778" s="174"/>
      <c r="F778" s="174"/>
      <c r="G778" s="174"/>
      <c r="H778" s="174"/>
    </row>
    <row r="779" spans="1:8" ht="14.25" customHeight="1">
      <c r="A779" s="174"/>
      <c r="B779" s="174"/>
      <c r="C779" s="174"/>
      <c r="D779" s="174"/>
      <c r="E779" s="174"/>
      <c r="F779" s="174"/>
      <c r="G779" s="174"/>
      <c r="H779" s="174"/>
    </row>
    <row r="780" spans="1:8" ht="14.25" customHeight="1">
      <c r="A780" s="174"/>
      <c r="B780" s="174"/>
      <c r="C780" s="174"/>
      <c r="D780" s="174"/>
      <c r="E780" s="174"/>
      <c r="F780" s="174"/>
      <c r="G780" s="174"/>
      <c r="H780" s="174"/>
    </row>
    <row r="781" spans="1:8" ht="14.25" customHeight="1">
      <c r="A781" s="174"/>
      <c r="B781" s="174"/>
      <c r="C781" s="174"/>
      <c r="D781" s="174"/>
      <c r="E781" s="174"/>
      <c r="F781" s="174"/>
      <c r="G781" s="174"/>
      <c r="H781" s="174"/>
    </row>
    <row r="782" spans="1:8" ht="14.25" customHeight="1">
      <c r="A782" s="174"/>
      <c r="B782" s="174"/>
      <c r="C782" s="174"/>
      <c r="D782" s="174"/>
      <c r="E782" s="174"/>
      <c r="F782" s="174"/>
      <c r="G782" s="174"/>
      <c r="H782" s="174"/>
    </row>
    <row r="783" spans="1:8" ht="14.25" customHeight="1">
      <c r="A783" s="174"/>
      <c r="B783" s="174"/>
      <c r="C783" s="174"/>
      <c r="D783" s="174"/>
      <c r="E783" s="174"/>
      <c r="F783" s="174"/>
      <c r="G783" s="174"/>
      <c r="H783" s="174"/>
    </row>
    <row r="784" spans="1:8" ht="14.25" customHeight="1">
      <c r="A784" s="174"/>
      <c r="B784" s="174"/>
      <c r="C784" s="174"/>
      <c r="D784" s="174"/>
      <c r="E784" s="174"/>
      <c r="F784" s="174"/>
      <c r="G784" s="174"/>
      <c r="H784" s="174"/>
    </row>
    <row r="785" spans="1:8" ht="14.25" customHeight="1">
      <c r="A785" s="174"/>
      <c r="B785" s="174"/>
      <c r="C785" s="174"/>
      <c r="D785" s="174"/>
      <c r="E785" s="174"/>
      <c r="F785" s="174"/>
      <c r="G785" s="174"/>
      <c r="H785" s="174"/>
    </row>
    <row r="786" spans="1:8" ht="14.25" customHeight="1">
      <c r="A786" s="174"/>
      <c r="B786" s="174"/>
      <c r="C786" s="174"/>
      <c r="D786" s="174"/>
      <c r="E786" s="174"/>
      <c r="F786" s="174"/>
      <c r="G786" s="174"/>
      <c r="H786" s="174"/>
    </row>
    <row r="787" spans="1:8" ht="14.25" customHeight="1">
      <c r="A787" s="174"/>
      <c r="B787" s="174"/>
      <c r="C787" s="174"/>
      <c r="D787" s="174"/>
      <c r="E787" s="174"/>
      <c r="F787" s="174"/>
      <c r="G787" s="174"/>
      <c r="H787" s="174"/>
    </row>
    <row r="788" spans="1:8" ht="14.25" customHeight="1">
      <c r="A788" s="174"/>
      <c r="B788" s="174"/>
      <c r="C788" s="174"/>
      <c r="D788" s="174"/>
      <c r="E788" s="174"/>
      <c r="F788" s="174"/>
      <c r="G788" s="174"/>
      <c r="H788" s="174"/>
    </row>
    <row r="789" spans="1:8" ht="14.25" customHeight="1">
      <c r="A789" s="174"/>
      <c r="B789" s="174"/>
      <c r="C789" s="174"/>
      <c r="D789" s="174"/>
      <c r="E789" s="174"/>
      <c r="F789" s="174"/>
      <c r="G789" s="174"/>
      <c r="H789" s="174"/>
    </row>
    <row r="790" spans="1:8" ht="14.25" customHeight="1">
      <c r="A790" s="174"/>
      <c r="B790" s="174"/>
      <c r="C790" s="174"/>
      <c r="D790" s="174"/>
      <c r="E790" s="174"/>
      <c r="F790" s="174"/>
      <c r="G790" s="174"/>
      <c r="H790" s="174"/>
    </row>
    <row r="791" spans="1:8" ht="14.25" customHeight="1">
      <c r="A791" s="174"/>
      <c r="B791" s="174"/>
      <c r="C791" s="174"/>
      <c r="D791" s="174"/>
      <c r="E791" s="174"/>
      <c r="F791" s="174"/>
      <c r="G791" s="174"/>
      <c r="H791" s="174"/>
    </row>
    <row r="792" spans="1:8" ht="14.25" customHeight="1">
      <c r="A792" s="174"/>
      <c r="B792" s="174"/>
      <c r="C792" s="174"/>
      <c r="D792" s="174"/>
      <c r="E792" s="174"/>
      <c r="F792" s="174"/>
      <c r="G792" s="174"/>
      <c r="H792" s="174"/>
    </row>
    <row r="793" spans="1:8" ht="14.25" customHeight="1">
      <c r="A793" s="174"/>
      <c r="B793" s="174"/>
      <c r="C793" s="174"/>
      <c r="D793" s="174"/>
      <c r="E793" s="174"/>
      <c r="F793" s="174"/>
      <c r="G793" s="174"/>
      <c r="H793" s="174"/>
    </row>
    <row r="794" spans="1:8" ht="14.25" customHeight="1">
      <c r="A794" s="174"/>
      <c r="B794" s="174"/>
      <c r="C794" s="174"/>
      <c r="D794" s="174"/>
      <c r="E794" s="174"/>
      <c r="F794" s="174"/>
      <c r="G794" s="174"/>
      <c r="H794" s="174"/>
    </row>
    <row r="795" spans="1:8" ht="14.25" customHeight="1">
      <c r="A795" s="174"/>
      <c r="B795" s="174"/>
      <c r="C795" s="174"/>
      <c r="D795" s="174"/>
      <c r="E795" s="174"/>
      <c r="F795" s="174"/>
      <c r="G795" s="174"/>
      <c r="H795" s="174"/>
    </row>
    <row r="796" spans="1:8" ht="14.25" customHeight="1">
      <c r="A796" s="174"/>
      <c r="B796" s="174"/>
      <c r="C796" s="174"/>
      <c r="D796" s="174"/>
      <c r="E796" s="174"/>
      <c r="F796" s="174"/>
      <c r="G796" s="174"/>
      <c r="H796" s="174"/>
    </row>
    <row r="797" spans="1:8" ht="14.25" customHeight="1">
      <c r="A797" s="174"/>
      <c r="B797" s="174"/>
      <c r="C797" s="174"/>
      <c r="D797" s="174"/>
      <c r="E797" s="174"/>
      <c r="F797" s="174"/>
      <c r="G797" s="174"/>
      <c r="H797" s="174"/>
    </row>
    <row r="798" spans="1:8" ht="14.25" customHeight="1">
      <c r="A798" s="174"/>
      <c r="B798" s="174"/>
      <c r="C798" s="174"/>
      <c r="D798" s="174"/>
      <c r="E798" s="174"/>
      <c r="F798" s="174"/>
      <c r="G798" s="174"/>
      <c r="H798" s="174"/>
    </row>
    <row r="799" spans="1:8" ht="14.25" customHeight="1">
      <c r="A799" s="174"/>
      <c r="B799" s="174"/>
      <c r="C799" s="174"/>
      <c r="D799" s="174"/>
      <c r="E799" s="174"/>
      <c r="F799" s="174"/>
      <c r="G799" s="174"/>
      <c r="H799" s="174"/>
    </row>
    <row r="800" spans="1:8" ht="14.25" customHeight="1">
      <c r="A800" s="174"/>
      <c r="B800" s="174"/>
      <c r="C800" s="174"/>
      <c r="D800" s="174"/>
      <c r="E800" s="174"/>
      <c r="F800" s="174"/>
      <c r="G800" s="174"/>
      <c r="H800" s="174"/>
    </row>
    <row r="801" spans="1:8" ht="14.25" customHeight="1">
      <c r="A801" s="174"/>
      <c r="B801" s="174"/>
      <c r="C801" s="174"/>
      <c r="D801" s="174"/>
      <c r="E801" s="174"/>
      <c r="F801" s="174"/>
      <c r="G801" s="174"/>
      <c r="H801" s="174"/>
    </row>
    <row r="802" spans="1:8" ht="14.25" customHeight="1">
      <c r="A802" s="174"/>
      <c r="B802" s="174"/>
      <c r="C802" s="174"/>
      <c r="D802" s="174"/>
      <c r="E802" s="174"/>
      <c r="F802" s="174"/>
      <c r="G802" s="174"/>
      <c r="H802" s="174"/>
    </row>
    <row r="803" spans="1:8" ht="14.25" customHeight="1">
      <c r="A803" s="174"/>
      <c r="B803" s="174"/>
      <c r="C803" s="174"/>
      <c r="D803" s="174"/>
      <c r="E803" s="174"/>
      <c r="F803" s="174"/>
      <c r="G803" s="174"/>
      <c r="H803" s="174"/>
    </row>
    <row r="804" spans="1:8" ht="14.25" customHeight="1">
      <c r="A804" s="174"/>
      <c r="B804" s="174"/>
      <c r="C804" s="174"/>
      <c r="D804" s="174"/>
      <c r="E804" s="174"/>
      <c r="F804" s="174"/>
      <c r="G804" s="174"/>
      <c r="H804" s="174"/>
    </row>
    <row r="805" spans="1:8" ht="14.25" customHeight="1">
      <c r="A805" s="174"/>
      <c r="B805" s="174"/>
      <c r="C805" s="174"/>
      <c r="D805" s="174"/>
      <c r="E805" s="174"/>
      <c r="F805" s="174"/>
      <c r="G805" s="174"/>
      <c r="H805" s="174"/>
    </row>
    <row r="806" spans="1:8" ht="14.25" customHeight="1">
      <c r="A806" s="174"/>
      <c r="B806" s="174"/>
      <c r="C806" s="174"/>
      <c r="D806" s="174"/>
      <c r="E806" s="174"/>
      <c r="F806" s="174"/>
      <c r="G806" s="174"/>
      <c r="H806" s="174"/>
    </row>
    <row r="807" spans="1:8" ht="14.25" customHeight="1">
      <c r="A807" s="174"/>
      <c r="B807" s="174"/>
      <c r="C807" s="174"/>
      <c r="D807" s="174"/>
      <c r="E807" s="174"/>
      <c r="F807" s="174"/>
      <c r="G807" s="174"/>
      <c r="H807" s="174"/>
    </row>
    <row r="808" spans="1:8" ht="14.25" customHeight="1">
      <c r="A808" s="174"/>
      <c r="B808" s="174"/>
      <c r="C808" s="174"/>
      <c r="D808" s="174"/>
      <c r="E808" s="174"/>
      <c r="F808" s="174"/>
      <c r="G808" s="174"/>
      <c r="H808" s="174"/>
    </row>
    <row r="809" spans="1:8" ht="14.25" customHeight="1">
      <c r="A809" s="174"/>
      <c r="B809" s="174"/>
      <c r="C809" s="174"/>
      <c r="D809" s="174"/>
      <c r="E809" s="174"/>
      <c r="F809" s="174"/>
      <c r="G809" s="174"/>
      <c r="H809" s="174"/>
    </row>
    <row r="810" spans="1:8" ht="14.25" customHeight="1">
      <c r="A810" s="174"/>
      <c r="B810" s="174"/>
      <c r="C810" s="174"/>
      <c r="D810" s="174"/>
      <c r="E810" s="174"/>
      <c r="F810" s="174"/>
      <c r="G810" s="174"/>
      <c r="H810" s="174"/>
    </row>
    <row r="811" spans="1:8" ht="14.25" customHeight="1">
      <c r="A811" s="174"/>
      <c r="B811" s="174"/>
      <c r="C811" s="174"/>
      <c r="D811" s="174"/>
      <c r="E811" s="174"/>
      <c r="F811" s="174"/>
      <c r="G811" s="174"/>
      <c r="H811" s="174"/>
    </row>
    <row r="812" spans="1:8" ht="14.25" customHeight="1">
      <c r="A812" s="174"/>
      <c r="B812" s="174"/>
      <c r="C812" s="174"/>
      <c r="D812" s="174"/>
      <c r="E812" s="174"/>
      <c r="F812" s="174"/>
      <c r="G812" s="174"/>
      <c r="H812" s="174"/>
    </row>
    <row r="813" spans="1:8" ht="14.25" customHeight="1">
      <c r="A813" s="174"/>
      <c r="B813" s="174"/>
      <c r="C813" s="174"/>
      <c r="D813" s="174"/>
      <c r="E813" s="174"/>
      <c r="F813" s="174"/>
      <c r="G813" s="174"/>
      <c r="H813" s="174"/>
    </row>
    <row r="814" spans="1:8" ht="14.25" customHeight="1">
      <c r="A814" s="174"/>
      <c r="B814" s="174"/>
      <c r="C814" s="174"/>
      <c r="D814" s="174"/>
      <c r="E814" s="174"/>
      <c r="F814" s="174"/>
      <c r="G814" s="174"/>
      <c r="H814" s="174"/>
    </row>
    <row r="815" spans="1:8" ht="14.25" customHeight="1">
      <c r="A815" s="174"/>
      <c r="B815" s="174"/>
      <c r="C815" s="174"/>
      <c r="D815" s="174"/>
      <c r="E815" s="174"/>
      <c r="F815" s="174"/>
      <c r="G815" s="174"/>
      <c r="H815" s="174"/>
    </row>
    <row r="816" spans="1:8" ht="14.25" customHeight="1">
      <c r="A816" s="174"/>
      <c r="B816" s="174"/>
      <c r="C816" s="174"/>
      <c r="D816" s="174"/>
      <c r="E816" s="174"/>
      <c r="F816" s="174"/>
      <c r="G816" s="174"/>
      <c r="H816" s="174"/>
    </row>
    <row r="817" spans="1:8" ht="14.25" customHeight="1">
      <c r="A817" s="174"/>
      <c r="B817" s="174"/>
      <c r="C817" s="174"/>
      <c r="D817" s="174"/>
      <c r="E817" s="174"/>
      <c r="F817" s="174"/>
      <c r="G817" s="174"/>
      <c r="H817" s="174"/>
    </row>
    <row r="818" spans="1:8" ht="14.25" customHeight="1">
      <c r="A818" s="174"/>
      <c r="B818" s="174"/>
      <c r="C818" s="174"/>
      <c r="D818" s="174"/>
      <c r="E818" s="174"/>
      <c r="F818" s="174"/>
      <c r="G818" s="174"/>
      <c r="H818" s="174"/>
    </row>
    <row r="819" spans="1:8" ht="14.25" customHeight="1">
      <c r="A819" s="174"/>
      <c r="B819" s="174"/>
      <c r="C819" s="174"/>
      <c r="D819" s="174"/>
      <c r="E819" s="174"/>
      <c r="F819" s="174"/>
      <c r="G819" s="174"/>
      <c r="H819" s="174"/>
    </row>
    <row r="820" spans="1:8" ht="14.25" customHeight="1">
      <c r="A820" s="174"/>
      <c r="B820" s="174"/>
      <c r="C820" s="174"/>
      <c r="D820" s="174"/>
      <c r="E820" s="174"/>
      <c r="F820" s="174"/>
      <c r="G820" s="174"/>
      <c r="H820" s="174"/>
    </row>
    <row r="821" spans="1:8" ht="14.25" customHeight="1">
      <c r="A821" s="174"/>
      <c r="B821" s="174"/>
      <c r="C821" s="174"/>
      <c r="D821" s="174"/>
      <c r="E821" s="174"/>
      <c r="F821" s="174"/>
      <c r="G821" s="174"/>
      <c r="H821" s="174"/>
    </row>
    <row r="822" spans="1:8" ht="14.25" customHeight="1">
      <c r="A822" s="174"/>
      <c r="B822" s="174"/>
      <c r="C822" s="174"/>
      <c r="D822" s="174"/>
      <c r="E822" s="174"/>
      <c r="F822" s="174"/>
      <c r="G822" s="174"/>
      <c r="H822" s="174"/>
    </row>
    <row r="823" spans="1:8" ht="14.25" customHeight="1">
      <c r="A823" s="174"/>
      <c r="B823" s="174"/>
      <c r="C823" s="174"/>
      <c r="D823" s="174"/>
      <c r="E823" s="174"/>
      <c r="F823" s="174"/>
      <c r="G823" s="174"/>
      <c r="H823" s="174"/>
    </row>
    <row r="824" spans="1:8" ht="14.25" customHeight="1">
      <c r="A824" s="174"/>
      <c r="B824" s="174"/>
      <c r="C824" s="174"/>
      <c r="D824" s="174"/>
      <c r="E824" s="174"/>
      <c r="F824" s="174"/>
      <c r="G824" s="174"/>
      <c r="H824" s="174"/>
    </row>
    <row r="825" spans="1:8" ht="14.25" customHeight="1">
      <c r="A825" s="174"/>
      <c r="B825" s="174"/>
      <c r="C825" s="174"/>
      <c r="D825" s="174"/>
      <c r="E825" s="174"/>
      <c r="F825" s="174"/>
      <c r="G825" s="174"/>
      <c r="H825" s="174"/>
    </row>
    <row r="826" spans="1:8" ht="14.25" customHeight="1">
      <c r="A826" s="174"/>
      <c r="B826" s="174"/>
      <c r="C826" s="174"/>
      <c r="D826" s="174"/>
      <c r="E826" s="174"/>
      <c r="F826" s="174"/>
      <c r="G826" s="174"/>
      <c r="H826" s="174"/>
    </row>
    <row r="827" spans="1:8" ht="14.25" customHeight="1">
      <c r="A827" s="174"/>
      <c r="B827" s="174"/>
      <c r="C827" s="174"/>
      <c r="D827" s="174"/>
      <c r="E827" s="174"/>
      <c r="F827" s="174"/>
      <c r="G827" s="174"/>
      <c r="H827" s="174"/>
    </row>
    <row r="828" spans="1:8" ht="14.25" customHeight="1">
      <c r="A828" s="174"/>
      <c r="B828" s="174"/>
      <c r="C828" s="174"/>
      <c r="D828" s="174"/>
      <c r="E828" s="174"/>
      <c r="F828" s="174"/>
      <c r="G828" s="174"/>
      <c r="H828" s="174"/>
    </row>
    <row r="829" spans="1:8" ht="14.25" customHeight="1">
      <c r="A829" s="174"/>
      <c r="B829" s="174"/>
      <c r="C829" s="174"/>
      <c r="D829" s="174"/>
      <c r="E829" s="174"/>
      <c r="F829" s="174"/>
      <c r="G829" s="174"/>
      <c r="H829" s="174"/>
    </row>
    <row r="830" spans="1:8" ht="14.25" customHeight="1">
      <c r="A830" s="174"/>
      <c r="B830" s="174"/>
      <c r="C830" s="174"/>
      <c r="D830" s="174"/>
      <c r="E830" s="174"/>
      <c r="F830" s="174"/>
      <c r="G830" s="174"/>
      <c r="H830" s="174"/>
    </row>
    <row r="831" spans="1:8" ht="14.25" customHeight="1">
      <c r="A831" s="174"/>
      <c r="B831" s="174"/>
      <c r="C831" s="174"/>
      <c r="D831" s="174"/>
      <c r="E831" s="174"/>
      <c r="F831" s="174"/>
      <c r="G831" s="174"/>
      <c r="H831" s="174"/>
    </row>
    <row r="832" spans="1:8" ht="14.25" customHeight="1">
      <c r="A832" s="174"/>
      <c r="B832" s="174"/>
      <c r="C832" s="174"/>
      <c r="D832" s="174"/>
      <c r="E832" s="174"/>
      <c r="F832" s="174"/>
      <c r="G832" s="174"/>
      <c r="H832" s="174"/>
    </row>
    <row r="833" spans="1:8" ht="14.25" customHeight="1">
      <c r="A833" s="174"/>
      <c r="B833" s="174"/>
      <c r="C833" s="174"/>
      <c r="D833" s="174"/>
      <c r="E833" s="174"/>
      <c r="F833" s="174"/>
      <c r="G833" s="174"/>
      <c r="H833" s="174"/>
    </row>
    <row r="834" spans="1:8" ht="14.25" customHeight="1">
      <c r="A834" s="174"/>
      <c r="B834" s="174"/>
      <c r="C834" s="174"/>
      <c r="D834" s="174"/>
      <c r="E834" s="174"/>
      <c r="F834" s="174"/>
      <c r="G834" s="174"/>
      <c r="H834" s="174"/>
    </row>
    <row r="835" spans="1:8" ht="14.25" customHeight="1">
      <c r="A835" s="174"/>
      <c r="B835" s="174"/>
      <c r="C835" s="174"/>
      <c r="D835" s="174"/>
      <c r="E835" s="174"/>
      <c r="F835" s="174"/>
      <c r="G835" s="174"/>
      <c r="H835" s="174"/>
    </row>
    <row r="836" spans="1:8" ht="14.25" customHeight="1">
      <c r="A836" s="174"/>
      <c r="B836" s="174"/>
      <c r="C836" s="174"/>
      <c r="D836" s="174"/>
      <c r="E836" s="174"/>
      <c r="F836" s="174"/>
      <c r="G836" s="174"/>
      <c r="H836" s="174"/>
    </row>
    <row r="837" spans="1:8" ht="14.25" customHeight="1">
      <c r="A837" s="174"/>
      <c r="B837" s="174"/>
      <c r="C837" s="174"/>
      <c r="D837" s="174"/>
      <c r="E837" s="174"/>
      <c r="F837" s="174"/>
      <c r="G837" s="174"/>
      <c r="H837" s="174"/>
    </row>
    <row r="838" spans="1:8" ht="14.25" customHeight="1">
      <c r="A838" s="174"/>
      <c r="B838" s="174"/>
      <c r="C838" s="174"/>
      <c r="D838" s="174"/>
      <c r="E838" s="174"/>
      <c r="F838" s="174"/>
      <c r="G838" s="174"/>
      <c r="H838" s="174"/>
    </row>
    <row r="839" spans="1:8" ht="14.25" customHeight="1">
      <c r="A839" s="174"/>
      <c r="B839" s="174"/>
      <c r="C839" s="174"/>
      <c r="D839" s="174"/>
      <c r="E839" s="174"/>
      <c r="F839" s="174"/>
      <c r="G839" s="174"/>
      <c r="H839" s="174"/>
    </row>
    <row r="840" spans="1:8" ht="14.25" customHeight="1">
      <c r="A840" s="174"/>
      <c r="B840" s="174"/>
      <c r="C840" s="174"/>
      <c r="D840" s="174"/>
      <c r="E840" s="174"/>
      <c r="F840" s="174"/>
      <c r="G840" s="174"/>
      <c r="H840" s="174"/>
    </row>
    <row r="841" spans="1:8" ht="14.25" customHeight="1">
      <c r="A841" s="174"/>
      <c r="B841" s="174"/>
      <c r="C841" s="174"/>
      <c r="D841" s="174"/>
      <c r="E841" s="174"/>
      <c r="F841" s="174"/>
      <c r="G841" s="174"/>
      <c r="H841" s="174"/>
    </row>
    <row r="842" spans="1:8" ht="14.25" customHeight="1">
      <c r="A842" s="174"/>
      <c r="B842" s="174"/>
      <c r="C842" s="174"/>
      <c r="D842" s="174"/>
      <c r="E842" s="174"/>
      <c r="F842" s="174"/>
      <c r="G842" s="174"/>
      <c r="H842" s="174"/>
    </row>
    <row r="843" spans="1:8" ht="14.25" customHeight="1">
      <c r="A843" s="174"/>
      <c r="B843" s="174"/>
      <c r="C843" s="174"/>
      <c r="D843" s="174"/>
      <c r="E843" s="174"/>
      <c r="F843" s="174"/>
      <c r="G843" s="174"/>
      <c r="H843" s="174"/>
    </row>
    <row r="844" spans="1:8" ht="14.25" customHeight="1">
      <c r="A844" s="174"/>
      <c r="B844" s="174"/>
      <c r="C844" s="174"/>
      <c r="D844" s="174"/>
      <c r="E844" s="174"/>
      <c r="F844" s="174"/>
      <c r="G844" s="174"/>
      <c r="H844" s="174"/>
    </row>
    <row r="845" spans="1:8" ht="14.25" customHeight="1">
      <c r="A845" s="174"/>
      <c r="B845" s="174"/>
      <c r="C845" s="174"/>
      <c r="D845" s="174"/>
      <c r="E845" s="174"/>
      <c r="F845" s="174"/>
      <c r="G845" s="174"/>
      <c r="H845" s="174"/>
    </row>
    <row r="846" spans="1:8" ht="14.25" customHeight="1">
      <c r="A846" s="174"/>
      <c r="B846" s="174"/>
      <c r="C846" s="174"/>
      <c r="D846" s="174"/>
      <c r="E846" s="174"/>
      <c r="F846" s="174"/>
      <c r="G846" s="174"/>
      <c r="H846" s="174"/>
    </row>
    <row r="847" spans="1:8" ht="14.25" customHeight="1">
      <c r="A847" s="174"/>
      <c r="B847" s="174"/>
      <c r="C847" s="174"/>
      <c r="D847" s="174"/>
      <c r="E847" s="174"/>
      <c r="F847" s="174"/>
      <c r="G847" s="174"/>
      <c r="H847" s="174"/>
    </row>
    <row r="848" spans="1:8" ht="14.25" customHeight="1">
      <c r="A848" s="174"/>
      <c r="B848" s="174"/>
      <c r="C848" s="174"/>
      <c r="D848" s="174"/>
      <c r="E848" s="174"/>
      <c r="F848" s="174"/>
      <c r="G848" s="174"/>
      <c r="H848" s="174"/>
    </row>
    <row r="849" spans="1:8" ht="14.25" customHeight="1">
      <c r="A849" s="174"/>
      <c r="B849" s="174"/>
      <c r="C849" s="174"/>
      <c r="D849" s="174"/>
      <c r="E849" s="174"/>
      <c r="F849" s="174"/>
      <c r="G849" s="174"/>
      <c r="H849" s="174"/>
    </row>
    <row r="850" spans="1:8" ht="14.25" customHeight="1">
      <c r="A850" s="174"/>
      <c r="B850" s="174"/>
      <c r="C850" s="174"/>
      <c r="D850" s="174"/>
      <c r="E850" s="174"/>
      <c r="F850" s="174"/>
      <c r="G850" s="174"/>
      <c r="H850" s="174"/>
    </row>
    <row r="851" spans="1:8" ht="14.25" customHeight="1">
      <c r="A851" s="174"/>
      <c r="B851" s="174"/>
      <c r="C851" s="174"/>
      <c r="D851" s="174"/>
      <c r="E851" s="174"/>
      <c r="F851" s="174"/>
      <c r="G851" s="174"/>
      <c r="H851" s="174"/>
    </row>
    <row r="852" spans="1:8" ht="14.25" customHeight="1">
      <c r="A852" s="174"/>
      <c r="B852" s="174"/>
      <c r="C852" s="174"/>
      <c r="D852" s="174"/>
      <c r="E852" s="174"/>
      <c r="F852" s="174"/>
      <c r="G852" s="174"/>
      <c r="H852" s="174"/>
    </row>
    <row r="853" spans="1:8" ht="14.25" customHeight="1">
      <c r="A853" s="174"/>
      <c r="B853" s="174"/>
      <c r="C853" s="174"/>
      <c r="D853" s="174"/>
      <c r="E853" s="174"/>
      <c r="F853" s="174"/>
      <c r="G853" s="174"/>
      <c r="H853" s="174"/>
    </row>
    <row r="854" spans="1:8" ht="14.25" customHeight="1">
      <c r="A854" s="174"/>
      <c r="B854" s="174"/>
      <c r="C854" s="174"/>
      <c r="D854" s="174"/>
      <c r="E854" s="174"/>
      <c r="F854" s="174"/>
      <c r="G854" s="174"/>
      <c r="H854" s="174"/>
    </row>
    <row r="855" spans="1:8" ht="14.25" customHeight="1">
      <c r="A855" s="174"/>
      <c r="B855" s="174"/>
      <c r="C855" s="174"/>
      <c r="D855" s="174"/>
      <c r="E855" s="174"/>
      <c r="F855" s="174"/>
      <c r="G855" s="174"/>
      <c r="H855" s="174"/>
    </row>
    <row r="856" spans="1:8" ht="14.25" customHeight="1">
      <c r="A856" s="174"/>
      <c r="B856" s="174"/>
      <c r="C856" s="174"/>
      <c r="D856" s="174"/>
      <c r="E856" s="174"/>
      <c r="F856" s="174"/>
      <c r="G856" s="174"/>
      <c r="H856" s="174"/>
    </row>
    <row r="857" spans="1:8" ht="14.25" customHeight="1">
      <c r="A857" s="174"/>
      <c r="B857" s="174"/>
      <c r="C857" s="174"/>
      <c r="D857" s="174"/>
      <c r="E857" s="174"/>
      <c r="F857" s="174"/>
      <c r="G857" s="174"/>
      <c r="H857" s="174"/>
    </row>
    <row r="858" spans="1:8" ht="14.25" customHeight="1">
      <c r="A858" s="174"/>
      <c r="B858" s="174"/>
      <c r="C858" s="174"/>
      <c r="D858" s="174"/>
      <c r="E858" s="174"/>
      <c r="F858" s="174"/>
      <c r="G858" s="174"/>
      <c r="H858" s="174"/>
    </row>
    <row r="859" spans="1:8" ht="14.25" customHeight="1">
      <c r="A859" s="174"/>
      <c r="B859" s="174"/>
      <c r="C859" s="174"/>
      <c r="D859" s="174"/>
      <c r="E859" s="174"/>
      <c r="F859" s="174"/>
      <c r="G859" s="174"/>
      <c r="H859" s="174"/>
    </row>
    <row r="860" spans="1:8" ht="14.25" customHeight="1">
      <c r="A860" s="174"/>
      <c r="B860" s="174"/>
      <c r="C860" s="174"/>
      <c r="D860" s="174"/>
      <c r="E860" s="174"/>
      <c r="F860" s="174"/>
      <c r="G860" s="174"/>
      <c r="H860" s="174"/>
    </row>
    <row r="861" spans="1:8" ht="14.25" customHeight="1">
      <c r="A861" s="174"/>
      <c r="B861" s="174"/>
      <c r="C861" s="174"/>
      <c r="D861" s="174"/>
      <c r="E861" s="174"/>
      <c r="F861" s="174"/>
      <c r="G861" s="174"/>
      <c r="H861" s="174"/>
    </row>
    <row r="862" spans="1:8" ht="14.25" customHeight="1">
      <c r="A862" s="174"/>
      <c r="B862" s="174"/>
      <c r="C862" s="174"/>
      <c r="D862" s="174"/>
      <c r="E862" s="174"/>
      <c r="F862" s="174"/>
      <c r="G862" s="174"/>
      <c r="H862" s="174"/>
    </row>
    <row r="863" spans="1:8" ht="14.25" customHeight="1">
      <c r="A863" s="174"/>
      <c r="B863" s="174"/>
      <c r="C863" s="174"/>
      <c r="D863" s="174"/>
      <c r="E863" s="174"/>
      <c r="F863" s="174"/>
      <c r="G863" s="174"/>
      <c r="H863" s="174"/>
    </row>
    <row r="864" spans="1:8" ht="14.25" customHeight="1">
      <c r="A864" s="174"/>
      <c r="B864" s="174"/>
      <c r="C864" s="174"/>
      <c r="D864" s="174"/>
      <c r="E864" s="174"/>
      <c r="F864" s="174"/>
      <c r="G864" s="174"/>
      <c r="H864" s="174"/>
    </row>
    <row r="865" spans="1:8" ht="14.25" customHeight="1">
      <c r="A865" s="174"/>
      <c r="B865" s="174"/>
      <c r="C865" s="174"/>
      <c r="D865" s="174"/>
      <c r="E865" s="174"/>
      <c r="F865" s="174"/>
      <c r="G865" s="174"/>
      <c r="H865" s="174"/>
    </row>
    <row r="866" spans="1:8" ht="14.25" customHeight="1">
      <c r="A866" s="174"/>
      <c r="B866" s="174"/>
      <c r="C866" s="174"/>
      <c r="D866" s="174"/>
      <c r="E866" s="174"/>
      <c r="F866" s="174"/>
      <c r="G866" s="174"/>
      <c r="H866" s="174"/>
    </row>
    <row r="867" spans="1:8" ht="14.25" customHeight="1">
      <c r="A867" s="174"/>
      <c r="B867" s="174"/>
      <c r="C867" s="174"/>
      <c r="D867" s="174"/>
      <c r="E867" s="174"/>
      <c r="F867" s="174"/>
      <c r="G867" s="174"/>
      <c r="H867" s="174"/>
    </row>
    <row r="868" spans="1:8" ht="14.25" customHeight="1">
      <c r="A868" s="174"/>
      <c r="B868" s="174"/>
      <c r="C868" s="174"/>
      <c r="D868" s="174"/>
      <c r="E868" s="174"/>
      <c r="F868" s="174"/>
      <c r="G868" s="174"/>
      <c r="H868" s="174"/>
    </row>
    <row r="869" spans="1:8" ht="14.25" customHeight="1">
      <c r="A869" s="174"/>
      <c r="B869" s="174"/>
      <c r="C869" s="174"/>
      <c r="D869" s="174"/>
      <c r="E869" s="174"/>
      <c r="F869" s="174"/>
      <c r="G869" s="174"/>
      <c r="H869" s="174"/>
    </row>
    <row r="870" spans="1:8" ht="14.25" customHeight="1">
      <c r="A870" s="174"/>
      <c r="B870" s="174"/>
      <c r="C870" s="174"/>
      <c r="D870" s="174"/>
      <c r="E870" s="174"/>
      <c r="F870" s="174"/>
      <c r="G870" s="174"/>
      <c r="H870" s="174"/>
    </row>
    <row r="871" spans="1:8" ht="14.25" customHeight="1">
      <c r="A871" s="174"/>
      <c r="B871" s="174"/>
      <c r="C871" s="174"/>
      <c r="D871" s="174"/>
      <c r="E871" s="174"/>
      <c r="F871" s="174"/>
      <c r="G871" s="174"/>
      <c r="H871" s="174"/>
    </row>
    <row r="872" spans="1:8" ht="14.25" customHeight="1">
      <c r="A872" s="174"/>
      <c r="B872" s="174"/>
      <c r="C872" s="174"/>
      <c r="D872" s="174"/>
      <c r="E872" s="174"/>
      <c r="F872" s="174"/>
      <c r="G872" s="174"/>
      <c r="H872" s="174"/>
    </row>
    <row r="873" spans="1:8" ht="14.25" customHeight="1">
      <c r="A873" s="174"/>
      <c r="B873" s="174"/>
      <c r="C873" s="174"/>
      <c r="D873" s="174"/>
      <c r="E873" s="174"/>
      <c r="F873" s="174"/>
      <c r="G873" s="174"/>
      <c r="H873" s="174"/>
    </row>
    <row r="874" spans="1:8" ht="14.25" customHeight="1">
      <c r="A874" s="174"/>
      <c r="B874" s="174"/>
      <c r="C874" s="174"/>
      <c r="D874" s="174"/>
      <c r="E874" s="174"/>
      <c r="F874" s="174"/>
      <c r="G874" s="174"/>
      <c r="H874" s="174"/>
    </row>
    <row r="875" spans="1:8" ht="14.25" customHeight="1">
      <c r="A875" s="174"/>
      <c r="B875" s="174"/>
      <c r="C875" s="174"/>
      <c r="D875" s="174"/>
      <c r="E875" s="174"/>
      <c r="F875" s="174"/>
      <c r="G875" s="174"/>
      <c r="H875" s="174"/>
    </row>
    <row r="876" spans="1:8" ht="14.25" customHeight="1">
      <c r="A876" s="174"/>
      <c r="B876" s="174"/>
      <c r="C876" s="174"/>
      <c r="D876" s="174"/>
      <c r="E876" s="174"/>
      <c r="F876" s="174"/>
      <c r="G876" s="174"/>
      <c r="H876" s="174"/>
    </row>
    <row r="877" spans="1:8" ht="14.25" customHeight="1">
      <c r="A877" s="174"/>
      <c r="B877" s="174"/>
      <c r="C877" s="174"/>
      <c r="D877" s="174"/>
      <c r="E877" s="174"/>
      <c r="F877" s="174"/>
      <c r="G877" s="174"/>
      <c r="H877" s="174"/>
    </row>
    <row r="878" spans="1:8" ht="14.25" customHeight="1">
      <c r="A878" s="174"/>
      <c r="B878" s="174"/>
      <c r="C878" s="174"/>
      <c r="D878" s="174"/>
      <c r="E878" s="174"/>
      <c r="F878" s="174"/>
      <c r="G878" s="174"/>
      <c r="H878" s="174"/>
    </row>
    <row r="879" spans="1:8" ht="14.25" customHeight="1">
      <c r="A879" s="174"/>
      <c r="B879" s="174"/>
      <c r="C879" s="174"/>
      <c r="D879" s="174"/>
      <c r="E879" s="174"/>
      <c r="F879" s="174"/>
      <c r="G879" s="174"/>
      <c r="H879" s="174"/>
    </row>
    <row r="880" spans="1:8" ht="14.25" customHeight="1">
      <c r="A880" s="174"/>
      <c r="B880" s="174"/>
      <c r="C880" s="174"/>
      <c r="D880" s="174"/>
      <c r="E880" s="174"/>
      <c r="F880" s="174"/>
      <c r="G880" s="174"/>
      <c r="H880" s="174"/>
    </row>
    <row r="881" spans="1:8" ht="14.25" customHeight="1">
      <c r="A881" s="174"/>
      <c r="B881" s="174"/>
      <c r="C881" s="174"/>
      <c r="D881" s="174"/>
      <c r="E881" s="174"/>
      <c r="F881" s="174"/>
      <c r="G881" s="174"/>
      <c r="H881" s="174"/>
    </row>
    <row r="882" spans="1:8" ht="14.25" customHeight="1">
      <c r="A882" s="174"/>
      <c r="B882" s="174"/>
      <c r="C882" s="174"/>
      <c r="D882" s="174"/>
      <c r="E882" s="174"/>
      <c r="F882" s="174"/>
      <c r="G882" s="174"/>
      <c r="H882" s="174"/>
    </row>
    <row r="883" spans="1:8" ht="14.25" customHeight="1">
      <c r="A883" s="174"/>
      <c r="B883" s="174"/>
      <c r="C883" s="174"/>
      <c r="D883" s="174"/>
      <c r="E883" s="174"/>
      <c r="F883" s="174"/>
      <c r="G883" s="174"/>
      <c r="H883" s="174"/>
    </row>
    <row r="884" spans="1:8" ht="14.25" customHeight="1">
      <c r="A884" s="174"/>
      <c r="B884" s="174"/>
      <c r="C884" s="174"/>
      <c r="D884" s="174"/>
      <c r="E884" s="174"/>
      <c r="F884" s="174"/>
      <c r="G884" s="174"/>
      <c r="H884" s="174"/>
    </row>
    <row r="885" spans="1:8" ht="14.25" customHeight="1">
      <c r="A885" s="174"/>
      <c r="B885" s="174"/>
      <c r="C885" s="174"/>
      <c r="D885" s="174"/>
      <c r="E885" s="174"/>
      <c r="F885" s="174"/>
      <c r="G885" s="174"/>
      <c r="H885" s="174"/>
    </row>
    <row r="886" spans="1:8" ht="14.25" customHeight="1">
      <c r="A886" s="174"/>
      <c r="B886" s="174"/>
      <c r="C886" s="174"/>
      <c r="D886" s="174"/>
      <c r="E886" s="174"/>
      <c r="F886" s="174"/>
      <c r="G886" s="174"/>
      <c r="H886" s="174"/>
    </row>
    <row r="887" spans="1:8" ht="14.25" customHeight="1">
      <c r="A887" s="174"/>
      <c r="B887" s="174"/>
      <c r="C887" s="174"/>
      <c r="D887" s="174"/>
      <c r="E887" s="174"/>
      <c r="F887" s="174"/>
      <c r="G887" s="174"/>
      <c r="H887" s="174"/>
    </row>
    <row r="888" spans="1:8" ht="14.25" customHeight="1">
      <c r="A888" s="174"/>
      <c r="B888" s="174"/>
      <c r="C888" s="174"/>
      <c r="D888" s="174"/>
      <c r="E888" s="174"/>
      <c r="F888" s="174"/>
      <c r="G888" s="174"/>
      <c r="H888" s="174"/>
    </row>
    <row r="889" spans="1:8" ht="14.25" customHeight="1">
      <c r="A889" s="174"/>
      <c r="B889" s="174"/>
      <c r="C889" s="174"/>
      <c r="D889" s="174"/>
      <c r="E889" s="174"/>
      <c r="F889" s="174"/>
      <c r="G889" s="174"/>
      <c r="H889" s="174"/>
    </row>
    <row r="890" spans="1:8" ht="14.25" customHeight="1">
      <c r="A890" s="174"/>
      <c r="B890" s="174"/>
      <c r="C890" s="174"/>
      <c r="D890" s="174"/>
      <c r="E890" s="174"/>
      <c r="F890" s="174"/>
      <c r="G890" s="174"/>
      <c r="H890" s="174"/>
    </row>
    <row r="891" spans="1:8" ht="14.25" customHeight="1">
      <c r="A891" s="174"/>
      <c r="B891" s="174"/>
      <c r="C891" s="174"/>
      <c r="D891" s="174"/>
      <c r="E891" s="174"/>
      <c r="F891" s="174"/>
      <c r="G891" s="174"/>
      <c r="H891" s="174"/>
    </row>
    <row r="892" spans="1:8" ht="14.25" customHeight="1">
      <c r="A892" s="174"/>
      <c r="B892" s="174"/>
      <c r="C892" s="174"/>
      <c r="D892" s="174"/>
      <c r="E892" s="174"/>
      <c r="F892" s="174"/>
      <c r="G892" s="174"/>
      <c r="H892" s="174"/>
    </row>
    <row r="893" spans="1:8" ht="14.25" customHeight="1">
      <c r="A893" s="174"/>
      <c r="B893" s="174"/>
      <c r="C893" s="174"/>
      <c r="D893" s="174"/>
      <c r="E893" s="174"/>
      <c r="F893" s="174"/>
      <c r="G893" s="174"/>
      <c r="H893" s="174"/>
    </row>
    <row r="894" spans="1:8" ht="14.25" customHeight="1">
      <c r="A894" s="174"/>
      <c r="B894" s="174"/>
      <c r="C894" s="174"/>
      <c r="D894" s="174"/>
      <c r="E894" s="174"/>
      <c r="F894" s="174"/>
      <c r="G894" s="174"/>
      <c r="H894" s="174"/>
    </row>
    <row r="895" spans="1:8" ht="14.25" customHeight="1">
      <c r="A895" s="174"/>
      <c r="B895" s="174"/>
      <c r="C895" s="174"/>
      <c r="D895" s="174"/>
      <c r="E895" s="174"/>
      <c r="F895" s="174"/>
      <c r="G895" s="174"/>
      <c r="H895" s="174"/>
    </row>
    <row r="896" spans="1:8" ht="14.25" customHeight="1">
      <c r="A896" s="174"/>
      <c r="B896" s="174"/>
      <c r="C896" s="174"/>
      <c r="D896" s="174"/>
      <c r="E896" s="174"/>
      <c r="F896" s="174"/>
      <c r="G896" s="174"/>
      <c r="H896" s="174"/>
    </row>
    <row r="897" spans="1:8" ht="14.25" customHeight="1">
      <c r="A897" s="174"/>
      <c r="B897" s="174"/>
      <c r="C897" s="174"/>
      <c r="D897" s="174"/>
      <c r="E897" s="174"/>
      <c r="F897" s="174"/>
      <c r="G897" s="174"/>
      <c r="H897" s="174"/>
    </row>
    <row r="898" spans="1:8" ht="14.25" customHeight="1">
      <c r="A898" s="174"/>
      <c r="B898" s="174"/>
      <c r="C898" s="174"/>
      <c r="D898" s="174"/>
      <c r="E898" s="174"/>
      <c r="F898" s="174"/>
      <c r="G898" s="174"/>
      <c r="H898" s="174"/>
    </row>
    <row r="899" spans="1:8" ht="14.25" customHeight="1">
      <c r="A899" s="174"/>
      <c r="B899" s="174"/>
      <c r="C899" s="174"/>
      <c r="D899" s="174"/>
      <c r="E899" s="174"/>
      <c r="F899" s="174"/>
      <c r="G899" s="174"/>
      <c r="H899" s="174"/>
    </row>
    <row r="900" spans="1:8" ht="14.25" customHeight="1">
      <c r="A900" s="174"/>
      <c r="B900" s="174"/>
      <c r="C900" s="174"/>
      <c r="D900" s="174"/>
      <c r="E900" s="174"/>
      <c r="F900" s="174"/>
      <c r="G900" s="174"/>
      <c r="H900" s="174"/>
    </row>
    <row r="901" spans="1:8" ht="14.25" customHeight="1">
      <c r="A901" s="174"/>
      <c r="B901" s="174"/>
      <c r="C901" s="174"/>
      <c r="D901" s="174"/>
      <c r="E901" s="174"/>
      <c r="F901" s="174"/>
      <c r="G901" s="174"/>
      <c r="H901" s="174"/>
    </row>
    <row r="902" spans="1:8" ht="14.25" customHeight="1">
      <c r="A902" s="174"/>
      <c r="B902" s="174"/>
      <c r="C902" s="174"/>
      <c r="D902" s="174"/>
      <c r="E902" s="174"/>
      <c r="F902" s="174"/>
      <c r="G902" s="174"/>
      <c r="H902" s="174"/>
    </row>
    <row r="903" spans="1:8" ht="14.25" customHeight="1">
      <c r="A903" s="174"/>
      <c r="B903" s="174"/>
      <c r="C903" s="174"/>
      <c r="D903" s="174"/>
      <c r="E903" s="174"/>
      <c r="F903" s="174"/>
      <c r="G903" s="174"/>
      <c r="H903" s="174"/>
    </row>
    <row r="904" spans="1:8" ht="14.25" customHeight="1">
      <c r="A904" s="174"/>
      <c r="B904" s="174"/>
      <c r="C904" s="174"/>
      <c r="D904" s="174"/>
      <c r="E904" s="174"/>
      <c r="F904" s="174"/>
      <c r="G904" s="174"/>
      <c r="H904" s="174"/>
    </row>
    <row r="905" spans="1:8" ht="14.25" customHeight="1">
      <c r="A905" s="174"/>
      <c r="B905" s="174"/>
      <c r="C905" s="174"/>
      <c r="D905" s="174"/>
      <c r="E905" s="174"/>
      <c r="F905" s="174"/>
      <c r="G905" s="174"/>
      <c r="H905" s="174"/>
    </row>
    <row r="906" spans="1:8" ht="14.25" customHeight="1">
      <c r="A906" s="174"/>
      <c r="B906" s="174"/>
      <c r="C906" s="174"/>
      <c r="D906" s="174"/>
      <c r="E906" s="174"/>
      <c r="F906" s="174"/>
      <c r="G906" s="174"/>
      <c r="H906" s="174"/>
    </row>
    <row r="907" spans="1:8" ht="14.25" customHeight="1">
      <c r="A907" s="174"/>
      <c r="B907" s="174"/>
      <c r="C907" s="174"/>
      <c r="D907" s="174"/>
      <c r="E907" s="174"/>
      <c r="F907" s="174"/>
      <c r="G907" s="174"/>
      <c r="H907" s="174"/>
    </row>
    <row r="908" spans="1:8" ht="14.25" customHeight="1">
      <c r="A908" s="174"/>
      <c r="B908" s="174"/>
      <c r="C908" s="174"/>
      <c r="D908" s="174"/>
      <c r="E908" s="174"/>
      <c r="F908" s="174"/>
      <c r="G908" s="174"/>
      <c r="H908" s="174"/>
    </row>
    <row r="909" spans="1:8" ht="14.25" customHeight="1">
      <c r="A909" s="174"/>
      <c r="B909" s="174"/>
      <c r="C909" s="174"/>
      <c r="D909" s="174"/>
      <c r="E909" s="174"/>
      <c r="F909" s="174"/>
      <c r="G909" s="174"/>
      <c r="H909" s="174"/>
    </row>
    <row r="910" spans="1:8" ht="14.25" customHeight="1">
      <c r="A910" s="174"/>
      <c r="B910" s="174"/>
      <c r="C910" s="174"/>
      <c r="D910" s="174"/>
      <c r="E910" s="174"/>
      <c r="F910" s="174"/>
      <c r="G910" s="174"/>
      <c r="H910" s="174"/>
    </row>
    <row r="911" spans="1:8" ht="14.25" customHeight="1">
      <c r="A911" s="174"/>
      <c r="B911" s="174"/>
      <c r="C911" s="174"/>
      <c r="D911" s="174"/>
      <c r="E911" s="174"/>
      <c r="F911" s="174"/>
      <c r="G911" s="174"/>
      <c r="H911" s="174"/>
    </row>
    <row r="912" spans="1:8" ht="14.25" customHeight="1">
      <c r="A912" s="174"/>
      <c r="B912" s="174"/>
      <c r="C912" s="174"/>
      <c r="D912" s="174"/>
      <c r="E912" s="174"/>
      <c r="F912" s="174"/>
      <c r="G912" s="174"/>
      <c r="H912" s="174"/>
    </row>
    <row r="913" spans="1:8" ht="14.25" customHeight="1">
      <c r="A913" s="174"/>
      <c r="B913" s="174"/>
      <c r="C913" s="174"/>
      <c r="D913" s="174"/>
      <c r="E913" s="174"/>
      <c r="F913" s="174"/>
      <c r="G913" s="174"/>
      <c r="H913" s="174"/>
    </row>
    <row r="914" spans="1:8" ht="14.25" customHeight="1">
      <c r="A914" s="174"/>
      <c r="B914" s="174"/>
      <c r="C914" s="174"/>
      <c r="D914" s="174"/>
      <c r="E914" s="174"/>
      <c r="F914" s="174"/>
      <c r="G914" s="174"/>
      <c r="H914" s="174"/>
    </row>
    <row r="915" spans="1:8" ht="14.25" customHeight="1">
      <c r="A915" s="174"/>
      <c r="B915" s="174"/>
      <c r="C915" s="174"/>
      <c r="D915" s="174"/>
      <c r="E915" s="174"/>
      <c r="F915" s="174"/>
      <c r="G915" s="174"/>
      <c r="H915" s="174"/>
    </row>
    <row r="916" spans="1:8" ht="14.25" customHeight="1">
      <c r="A916" s="174"/>
      <c r="B916" s="174"/>
      <c r="C916" s="174"/>
      <c r="D916" s="174"/>
      <c r="E916" s="174"/>
      <c r="F916" s="174"/>
      <c r="G916" s="174"/>
      <c r="H916" s="174"/>
    </row>
    <row r="917" spans="1:8" ht="14.25" customHeight="1">
      <c r="A917" s="174"/>
      <c r="B917" s="174"/>
      <c r="C917" s="174"/>
      <c r="D917" s="174"/>
      <c r="E917" s="174"/>
      <c r="F917" s="174"/>
      <c r="G917" s="174"/>
      <c r="H917" s="174"/>
    </row>
    <row r="918" spans="1:8" ht="14.25" customHeight="1">
      <c r="A918" s="174"/>
      <c r="B918" s="174"/>
      <c r="C918" s="174"/>
      <c r="D918" s="174"/>
      <c r="E918" s="174"/>
      <c r="F918" s="174"/>
      <c r="G918" s="174"/>
      <c r="H918" s="174"/>
    </row>
    <row r="919" spans="1:8" ht="14.25" customHeight="1">
      <c r="A919" s="174"/>
      <c r="B919" s="174"/>
      <c r="C919" s="174"/>
      <c r="D919" s="174"/>
      <c r="E919" s="174"/>
      <c r="F919" s="174"/>
      <c r="G919" s="174"/>
      <c r="H919" s="174"/>
    </row>
    <row r="920" spans="1:8" ht="14.25" customHeight="1">
      <c r="A920" s="174"/>
      <c r="B920" s="174"/>
      <c r="C920" s="174"/>
      <c r="D920" s="174"/>
      <c r="E920" s="174"/>
      <c r="F920" s="174"/>
      <c r="G920" s="174"/>
      <c r="H920" s="174"/>
    </row>
    <row r="921" spans="1:8" ht="14.25" customHeight="1">
      <c r="A921" s="174"/>
      <c r="B921" s="174"/>
      <c r="C921" s="174"/>
      <c r="D921" s="174"/>
      <c r="E921" s="174"/>
      <c r="F921" s="174"/>
      <c r="G921" s="174"/>
      <c r="H921" s="174"/>
    </row>
    <row r="922" spans="1:8" ht="14.25" customHeight="1">
      <c r="A922" s="174"/>
      <c r="B922" s="174"/>
      <c r="C922" s="174"/>
      <c r="D922" s="174"/>
      <c r="E922" s="174"/>
      <c r="F922" s="174"/>
      <c r="G922" s="174"/>
      <c r="H922" s="174"/>
    </row>
    <row r="923" spans="1:8" ht="14.25" customHeight="1">
      <c r="A923" s="174"/>
      <c r="B923" s="174"/>
      <c r="C923" s="174"/>
      <c r="D923" s="174"/>
      <c r="E923" s="174"/>
      <c r="F923" s="174"/>
      <c r="G923" s="174"/>
      <c r="H923" s="174"/>
    </row>
    <row r="924" spans="1:8" ht="14.25" customHeight="1">
      <c r="A924" s="174"/>
      <c r="B924" s="174"/>
      <c r="C924" s="174"/>
      <c r="D924" s="174"/>
      <c r="E924" s="174"/>
      <c r="F924" s="174"/>
      <c r="G924" s="174"/>
      <c r="H924" s="174"/>
    </row>
    <row r="925" spans="1:8" ht="14.25" customHeight="1">
      <c r="A925" s="174"/>
      <c r="B925" s="174"/>
      <c r="C925" s="174"/>
      <c r="D925" s="174"/>
      <c r="E925" s="174"/>
      <c r="F925" s="174"/>
      <c r="G925" s="174"/>
      <c r="H925" s="174"/>
    </row>
    <row r="926" spans="1:8" ht="14.25" customHeight="1">
      <c r="A926" s="174"/>
      <c r="B926" s="174"/>
      <c r="C926" s="174"/>
      <c r="D926" s="174"/>
      <c r="E926" s="174"/>
      <c r="F926" s="174"/>
      <c r="G926" s="174"/>
      <c r="H926" s="174"/>
    </row>
    <row r="927" spans="1:8" ht="14.25" customHeight="1">
      <c r="A927" s="174"/>
      <c r="B927" s="174"/>
      <c r="C927" s="174"/>
      <c r="D927" s="174"/>
      <c r="E927" s="174"/>
      <c r="F927" s="174"/>
      <c r="G927" s="174"/>
      <c r="H927" s="174"/>
    </row>
    <row r="928" spans="1:8" ht="14.25" customHeight="1">
      <c r="A928" s="174"/>
      <c r="B928" s="174"/>
      <c r="C928" s="174"/>
      <c r="D928" s="174"/>
      <c r="E928" s="174"/>
      <c r="F928" s="174"/>
      <c r="G928" s="174"/>
      <c r="H928" s="174"/>
    </row>
    <row r="929" spans="1:8" ht="14.25" customHeight="1">
      <c r="A929" s="174"/>
      <c r="B929" s="174"/>
      <c r="C929" s="174"/>
      <c r="D929" s="174"/>
      <c r="E929" s="174"/>
      <c r="F929" s="174"/>
      <c r="G929" s="174"/>
      <c r="H929" s="174"/>
    </row>
    <row r="930" spans="1:8" ht="14.25" customHeight="1">
      <c r="A930" s="174"/>
      <c r="B930" s="174"/>
      <c r="C930" s="174"/>
      <c r="D930" s="174"/>
      <c r="E930" s="174"/>
      <c r="F930" s="174"/>
      <c r="G930" s="174"/>
      <c r="H930" s="174"/>
    </row>
    <row r="931" spans="1:8" ht="14.25" customHeight="1">
      <c r="A931" s="174"/>
      <c r="B931" s="174"/>
      <c r="C931" s="174"/>
      <c r="D931" s="174"/>
      <c r="E931" s="174"/>
      <c r="F931" s="174"/>
      <c r="G931" s="174"/>
      <c r="H931" s="174"/>
    </row>
    <row r="932" spans="1:8" ht="14.25" customHeight="1">
      <c r="A932" s="174"/>
      <c r="B932" s="174"/>
      <c r="C932" s="174"/>
      <c r="D932" s="174"/>
      <c r="E932" s="174"/>
      <c r="F932" s="174"/>
      <c r="G932" s="174"/>
      <c r="H932" s="174"/>
    </row>
    <row r="933" spans="1:8" ht="14.25" customHeight="1">
      <c r="A933" s="174"/>
      <c r="B933" s="174"/>
      <c r="C933" s="174"/>
      <c r="D933" s="174"/>
      <c r="E933" s="174"/>
      <c r="F933" s="174"/>
      <c r="G933" s="174"/>
      <c r="H933" s="174"/>
    </row>
    <row r="934" spans="1:8" ht="14.25" customHeight="1">
      <c r="A934" s="174"/>
      <c r="B934" s="174"/>
      <c r="C934" s="174"/>
      <c r="D934" s="174"/>
      <c r="E934" s="174"/>
      <c r="F934" s="174"/>
      <c r="G934" s="174"/>
      <c r="H934" s="174"/>
    </row>
    <row r="935" spans="1:8" ht="14.25" customHeight="1">
      <c r="A935" s="174"/>
      <c r="B935" s="174"/>
      <c r="C935" s="174"/>
      <c r="D935" s="174"/>
      <c r="E935" s="174"/>
      <c r="F935" s="174"/>
      <c r="G935" s="174"/>
      <c r="H935" s="174"/>
    </row>
    <row r="936" spans="1:8" ht="14.25" customHeight="1">
      <c r="A936" s="174"/>
      <c r="B936" s="174"/>
      <c r="C936" s="174"/>
      <c r="D936" s="174"/>
      <c r="E936" s="174"/>
      <c r="F936" s="174"/>
      <c r="G936" s="174"/>
      <c r="H936" s="174"/>
    </row>
    <row r="937" spans="1:8" ht="14.25" customHeight="1">
      <c r="A937" s="174"/>
      <c r="B937" s="174"/>
      <c r="C937" s="174"/>
      <c r="D937" s="174"/>
      <c r="E937" s="174"/>
      <c r="F937" s="174"/>
      <c r="G937" s="174"/>
      <c r="H937" s="174"/>
    </row>
    <row r="938" spans="1:8" ht="14.25" customHeight="1">
      <c r="A938" s="174"/>
      <c r="B938" s="174"/>
      <c r="C938" s="174"/>
      <c r="D938" s="174"/>
      <c r="E938" s="174"/>
      <c r="F938" s="174"/>
      <c r="G938" s="174"/>
      <c r="H938" s="174"/>
    </row>
    <row r="939" spans="1:8" ht="14.25" customHeight="1">
      <c r="A939" s="174"/>
      <c r="B939" s="174"/>
      <c r="C939" s="174"/>
      <c r="D939" s="174"/>
      <c r="E939" s="174"/>
      <c r="F939" s="174"/>
      <c r="G939" s="174"/>
      <c r="H939" s="174"/>
    </row>
    <row r="940" spans="1:8" ht="14.25" customHeight="1">
      <c r="A940" s="174"/>
      <c r="B940" s="174"/>
      <c r="C940" s="174"/>
      <c r="D940" s="174"/>
      <c r="E940" s="174"/>
      <c r="F940" s="174"/>
      <c r="G940" s="174"/>
      <c r="H940" s="174"/>
    </row>
    <row r="941" spans="1:8" ht="14.25" customHeight="1">
      <c r="A941" s="174"/>
      <c r="B941" s="174"/>
      <c r="C941" s="174"/>
      <c r="D941" s="174"/>
      <c r="E941" s="174"/>
      <c r="F941" s="174"/>
      <c r="G941" s="174"/>
      <c r="H941" s="174"/>
    </row>
    <row r="942" spans="1:8" ht="14.25" customHeight="1">
      <c r="A942" s="174"/>
      <c r="B942" s="174"/>
      <c r="C942" s="174"/>
      <c r="D942" s="174"/>
      <c r="E942" s="174"/>
      <c r="F942" s="174"/>
      <c r="G942" s="174"/>
      <c r="H942" s="174"/>
    </row>
    <row r="943" spans="1:8" ht="14.25" customHeight="1">
      <c r="A943" s="174"/>
      <c r="B943" s="174"/>
      <c r="C943" s="174"/>
      <c r="D943" s="174"/>
      <c r="E943" s="174"/>
      <c r="F943" s="174"/>
      <c r="G943" s="174"/>
      <c r="H943" s="174"/>
    </row>
    <row r="944" spans="1:8" ht="14.25" customHeight="1">
      <c r="A944" s="174"/>
      <c r="B944" s="174"/>
      <c r="C944" s="174"/>
      <c r="D944" s="174"/>
      <c r="E944" s="174"/>
      <c r="F944" s="174"/>
      <c r="G944" s="174"/>
      <c r="H944" s="174"/>
    </row>
    <row r="945" spans="1:8" ht="14.25" customHeight="1">
      <c r="A945" s="174"/>
      <c r="B945" s="174"/>
      <c r="C945" s="174"/>
      <c r="D945" s="174"/>
      <c r="E945" s="174"/>
      <c r="F945" s="174"/>
      <c r="G945" s="174"/>
      <c r="H945" s="174"/>
    </row>
    <row r="946" spans="1:8" ht="14.25" customHeight="1">
      <c r="A946" s="174"/>
      <c r="B946" s="174"/>
      <c r="C946" s="174"/>
      <c r="D946" s="174"/>
      <c r="E946" s="174"/>
      <c r="F946" s="174"/>
      <c r="G946" s="174"/>
      <c r="H946" s="174"/>
    </row>
    <row r="947" spans="1:8" ht="14.25" customHeight="1">
      <c r="A947" s="174"/>
      <c r="B947" s="174"/>
      <c r="C947" s="174"/>
      <c r="D947" s="174"/>
      <c r="E947" s="174"/>
      <c r="F947" s="174"/>
      <c r="G947" s="174"/>
      <c r="H947" s="174"/>
    </row>
    <row r="948" spans="1:8" ht="14.25" customHeight="1">
      <c r="A948" s="174"/>
      <c r="B948" s="174"/>
      <c r="C948" s="174"/>
      <c r="D948" s="174"/>
      <c r="E948" s="174"/>
      <c r="F948" s="174"/>
      <c r="G948" s="174"/>
      <c r="H948" s="174"/>
    </row>
    <row r="949" spans="1:8" ht="14.25" customHeight="1">
      <c r="A949" s="174"/>
      <c r="B949" s="174"/>
      <c r="C949" s="174"/>
      <c r="D949" s="174"/>
      <c r="E949" s="174"/>
      <c r="F949" s="174"/>
      <c r="G949" s="174"/>
      <c r="H949" s="174"/>
    </row>
    <row r="950" spans="1:8" ht="14.25" customHeight="1">
      <c r="A950" s="174"/>
      <c r="B950" s="174"/>
      <c r="C950" s="174"/>
      <c r="D950" s="174"/>
      <c r="E950" s="174"/>
      <c r="F950" s="174"/>
      <c r="G950" s="174"/>
      <c r="H950" s="174"/>
    </row>
    <row r="951" spans="1:8" ht="14.25" customHeight="1">
      <c r="A951" s="174"/>
      <c r="B951" s="174"/>
      <c r="C951" s="174"/>
      <c r="D951" s="174"/>
      <c r="E951" s="174"/>
      <c r="F951" s="174"/>
      <c r="G951" s="174"/>
      <c r="H951" s="174"/>
    </row>
    <row r="952" spans="1:8" ht="14.25" customHeight="1">
      <c r="A952" s="174"/>
      <c r="B952" s="174"/>
      <c r="C952" s="174"/>
      <c r="D952" s="174"/>
      <c r="E952" s="174"/>
      <c r="F952" s="174"/>
      <c r="G952" s="174"/>
      <c r="H952" s="174"/>
    </row>
    <row r="953" spans="1:8" ht="14.25" customHeight="1">
      <c r="A953" s="174"/>
      <c r="B953" s="174"/>
      <c r="C953" s="174"/>
      <c r="D953" s="174"/>
      <c r="E953" s="174"/>
      <c r="F953" s="174"/>
      <c r="G953" s="174"/>
      <c r="H953" s="174"/>
    </row>
    <row r="954" spans="1:8" ht="14.25" customHeight="1">
      <c r="A954" s="174"/>
      <c r="B954" s="174"/>
      <c r="C954" s="174"/>
      <c r="D954" s="174"/>
      <c r="E954" s="174"/>
      <c r="F954" s="174"/>
      <c r="G954" s="174"/>
      <c r="H954" s="174"/>
    </row>
    <row r="955" spans="1:8" ht="14.25" customHeight="1">
      <c r="A955" s="174"/>
      <c r="B955" s="174"/>
      <c r="C955" s="174"/>
      <c r="D955" s="174"/>
      <c r="E955" s="174"/>
      <c r="F955" s="174"/>
      <c r="G955" s="174"/>
      <c r="H955" s="174"/>
    </row>
    <row r="956" spans="1:8" ht="14.25" customHeight="1">
      <c r="A956" s="174"/>
      <c r="B956" s="174"/>
      <c r="C956" s="174"/>
      <c r="D956" s="174"/>
      <c r="E956" s="174"/>
      <c r="F956" s="174"/>
      <c r="G956" s="174"/>
      <c r="H956" s="174"/>
    </row>
    <row r="957" spans="1:8" ht="14.25" customHeight="1">
      <c r="A957" s="174"/>
      <c r="B957" s="174"/>
      <c r="C957" s="174"/>
      <c r="D957" s="174"/>
      <c r="E957" s="174"/>
      <c r="F957" s="174"/>
      <c r="G957" s="174"/>
      <c r="H957" s="174"/>
    </row>
    <row r="958" spans="1:8" ht="14.25" customHeight="1">
      <c r="A958" s="174"/>
      <c r="B958" s="174"/>
      <c r="C958" s="174"/>
      <c r="D958" s="174"/>
      <c r="E958" s="174"/>
      <c r="F958" s="174"/>
      <c r="G958" s="174"/>
      <c r="H958" s="174"/>
    </row>
    <row r="959" spans="1:8" ht="14.25" customHeight="1">
      <c r="A959" s="174"/>
      <c r="B959" s="174"/>
      <c r="C959" s="174"/>
      <c r="D959" s="174"/>
      <c r="E959" s="174"/>
      <c r="F959" s="174"/>
      <c r="G959" s="174"/>
      <c r="H959" s="174"/>
    </row>
    <row r="960" spans="1:8" ht="14.25" customHeight="1">
      <c r="A960" s="174"/>
      <c r="B960" s="174"/>
      <c r="C960" s="174"/>
      <c r="D960" s="174"/>
      <c r="E960" s="174"/>
      <c r="F960" s="174"/>
      <c r="G960" s="174"/>
      <c r="H960" s="174"/>
    </row>
    <row r="961" spans="1:8" ht="14.25" customHeight="1">
      <c r="A961" s="174"/>
      <c r="B961" s="174"/>
      <c r="C961" s="174"/>
      <c r="D961" s="174"/>
      <c r="E961" s="174"/>
      <c r="F961" s="174"/>
      <c r="G961" s="174"/>
      <c r="H961" s="174"/>
    </row>
    <row r="962" spans="1:8" ht="14.25" customHeight="1">
      <c r="A962" s="174"/>
      <c r="B962" s="174"/>
      <c r="C962" s="174"/>
      <c r="D962" s="174"/>
      <c r="E962" s="174"/>
      <c r="F962" s="174"/>
      <c r="G962" s="174"/>
      <c r="H962" s="174"/>
    </row>
    <row r="963" spans="1:8" ht="14.25" customHeight="1">
      <c r="A963" s="174"/>
      <c r="B963" s="174"/>
      <c r="C963" s="174"/>
      <c r="D963" s="174"/>
      <c r="E963" s="174"/>
      <c r="F963" s="174"/>
      <c r="G963" s="174"/>
      <c r="H963" s="174"/>
    </row>
    <row r="964" spans="1:8" ht="14.25" customHeight="1">
      <c r="A964" s="174"/>
      <c r="B964" s="174"/>
      <c r="C964" s="174"/>
      <c r="D964" s="174"/>
      <c r="E964" s="174"/>
      <c r="F964" s="174"/>
      <c r="G964" s="174"/>
      <c r="H964" s="174"/>
    </row>
    <row r="965" spans="1:8" ht="14.25" customHeight="1">
      <c r="A965" s="174"/>
      <c r="B965" s="174"/>
      <c r="C965" s="174"/>
      <c r="D965" s="174"/>
      <c r="E965" s="174"/>
      <c r="F965" s="174"/>
      <c r="G965" s="174"/>
      <c r="H965" s="174"/>
    </row>
    <row r="966" spans="1:8" ht="14.25" customHeight="1">
      <c r="A966" s="174"/>
      <c r="B966" s="174"/>
      <c r="C966" s="174"/>
      <c r="D966" s="174"/>
      <c r="E966" s="174"/>
      <c r="F966" s="174"/>
      <c r="G966" s="174"/>
      <c r="H966" s="174"/>
    </row>
    <row r="967" spans="1:8" ht="14.25" customHeight="1">
      <c r="A967" s="174"/>
      <c r="B967" s="174"/>
      <c r="C967" s="174"/>
      <c r="D967" s="174"/>
      <c r="E967" s="174"/>
      <c r="F967" s="174"/>
      <c r="G967" s="174"/>
      <c r="H967" s="174"/>
    </row>
    <row r="968" spans="1:8" ht="14.25" customHeight="1">
      <c r="A968" s="174"/>
      <c r="B968" s="174"/>
      <c r="C968" s="174"/>
      <c r="D968" s="174"/>
      <c r="E968" s="174"/>
      <c r="F968" s="174"/>
      <c r="G968" s="174"/>
      <c r="H968" s="174"/>
    </row>
    <row r="969" spans="1:8" ht="14.25" customHeight="1">
      <c r="A969" s="174"/>
      <c r="B969" s="174"/>
      <c r="C969" s="174"/>
      <c r="D969" s="174"/>
      <c r="E969" s="174"/>
      <c r="F969" s="174"/>
      <c r="G969" s="174"/>
      <c r="H969" s="174"/>
    </row>
    <row r="970" spans="1:8" ht="14.25" customHeight="1">
      <c r="A970" s="174"/>
      <c r="B970" s="174"/>
      <c r="C970" s="174"/>
      <c r="D970" s="174"/>
      <c r="E970" s="174"/>
      <c r="F970" s="174"/>
      <c r="G970" s="174"/>
      <c r="H970" s="174"/>
    </row>
    <row r="971" spans="1:8" ht="14.25" customHeight="1">
      <c r="A971" s="174"/>
      <c r="B971" s="174"/>
      <c r="C971" s="174"/>
      <c r="D971" s="174"/>
      <c r="E971" s="174"/>
      <c r="F971" s="174"/>
      <c r="G971" s="174"/>
      <c r="H971" s="174"/>
    </row>
    <row r="972" spans="1:8" ht="14.25" customHeight="1">
      <c r="A972" s="174"/>
      <c r="B972" s="174"/>
      <c r="C972" s="174"/>
      <c r="D972" s="174"/>
      <c r="E972" s="174"/>
      <c r="F972" s="174"/>
      <c r="G972" s="174"/>
      <c r="H972" s="174"/>
    </row>
    <row r="973" spans="1:8" ht="14.25" customHeight="1">
      <c r="A973" s="174"/>
      <c r="B973" s="174"/>
      <c r="C973" s="174"/>
      <c r="D973" s="174"/>
      <c r="E973" s="174"/>
      <c r="F973" s="174"/>
      <c r="G973" s="174"/>
      <c r="H973" s="174"/>
    </row>
    <row r="974" spans="1:8" ht="14.25" customHeight="1">
      <c r="A974" s="174"/>
      <c r="B974" s="174"/>
      <c r="C974" s="174"/>
      <c r="D974" s="174"/>
      <c r="E974" s="174"/>
      <c r="F974" s="174"/>
      <c r="G974" s="174"/>
      <c r="H974" s="174"/>
    </row>
    <row r="975" spans="1:8" ht="14.25" customHeight="1">
      <c r="A975" s="174"/>
      <c r="B975" s="174"/>
      <c r="C975" s="174"/>
      <c r="D975" s="174"/>
      <c r="E975" s="174"/>
      <c r="F975" s="174"/>
      <c r="G975" s="174"/>
      <c r="H975" s="174"/>
    </row>
    <row r="976" spans="1:8" ht="14.25" customHeight="1">
      <c r="A976" s="174"/>
      <c r="B976" s="174"/>
      <c r="C976" s="174"/>
      <c r="D976" s="174"/>
      <c r="E976" s="174"/>
      <c r="F976" s="174"/>
      <c r="G976" s="174"/>
      <c r="H976" s="174"/>
    </row>
    <row r="977" spans="1:8" ht="14.25" customHeight="1">
      <c r="A977" s="174"/>
      <c r="B977" s="174"/>
      <c r="C977" s="174"/>
      <c r="D977" s="174"/>
      <c r="E977" s="174"/>
      <c r="F977" s="174"/>
      <c r="G977" s="174"/>
      <c r="H977" s="174"/>
    </row>
    <row r="978" spans="1:8" ht="14.25" customHeight="1">
      <c r="A978" s="174"/>
      <c r="B978" s="174"/>
      <c r="C978" s="174"/>
      <c r="D978" s="174"/>
      <c r="E978" s="174"/>
      <c r="F978" s="174"/>
      <c r="G978" s="174"/>
      <c r="H978" s="174"/>
    </row>
    <row r="979" spans="1:8" ht="14.25" customHeight="1">
      <c r="A979" s="174"/>
      <c r="B979" s="174"/>
      <c r="C979" s="174"/>
      <c r="D979" s="174"/>
      <c r="E979" s="174"/>
      <c r="F979" s="174"/>
      <c r="G979" s="174"/>
      <c r="H979" s="174"/>
    </row>
    <row r="980" spans="1:8" ht="14.25" customHeight="1">
      <c r="A980" s="174"/>
      <c r="B980" s="174"/>
      <c r="C980" s="174"/>
      <c r="D980" s="174"/>
      <c r="E980" s="174"/>
      <c r="F980" s="174"/>
      <c r="G980" s="174"/>
      <c r="H980" s="174"/>
    </row>
    <row r="981" spans="1:8" ht="14.25" customHeight="1">
      <c r="A981" s="174"/>
      <c r="B981" s="174"/>
      <c r="C981" s="174"/>
      <c r="D981" s="174"/>
      <c r="E981" s="174"/>
      <c r="F981" s="174"/>
      <c r="G981" s="174"/>
      <c r="H981" s="174"/>
    </row>
    <row r="982" spans="1:8" ht="14.25" customHeight="1">
      <c r="A982" s="174"/>
      <c r="B982" s="174"/>
      <c r="C982" s="174"/>
      <c r="D982" s="174"/>
      <c r="E982" s="174"/>
      <c r="F982" s="174"/>
      <c r="G982" s="174"/>
      <c r="H982" s="174"/>
    </row>
    <row r="983" spans="1:8" ht="14.25" customHeight="1">
      <c r="A983" s="174"/>
      <c r="B983" s="174"/>
      <c r="C983" s="174"/>
      <c r="D983" s="174"/>
      <c r="E983" s="174"/>
      <c r="F983" s="174"/>
      <c r="G983" s="174"/>
      <c r="H983" s="174"/>
    </row>
    <row r="984" spans="1:8" ht="14.25" customHeight="1">
      <c r="A984" s="174"/>
      <c r="B984" s="174"/>
      <c r="C984" s="174"/>
      <c r="D984" s="174"/>
      <c r="E984" s="174"/>
      <c r="F984" s="174"/>
      <c r="G984" s="174"/>
      <c r="H984" s="174"/>
    </row>
    <row r="985" spans="1:8" ht="14.25" customHeight="1">
      <c r="A985" s="174"/>
      <c r="B985" s="174"/>
      <c r="C985" s="174"/>
      <c r="D985" s="174"/>
      <c r="E985" s="174"/>
      <c r="F985" s="174"/>
      <c r="G985" s="174"/>
      <c r="H985" s="174"/>
    </row>
    <row r="986" spans="1:8" ht="14.25" customHeight="1">
      <c r="A986" s="174"/>
      <c r="B986" s="174"/>
      <c r="C986" s="174"/>
      <c r="D986" s="174"/>
      <c r="E986" s="174"/>
      <c r="F986" s="174"/>
      <c r="G986" s="174"/>
      <c r="H986" s="174"/>
    </row>
    <row r="987" spans="1:8" ht="14.25" customHeight="1">
      <c r="A987" s="174"/>
      <c r="B987" s="174"/>
      <c r="C987" s="174"/>
      <c r="D987" s="174"/>
      <c r="E987" s="174"/>
      <c r="F987" s="174"/>
      <c r="G987" s="174"/>
      <c r="H987" s="174"/>
    </row>
    <row r="988" spans="1:8" ht="14.25" customHeight="1">
      <c r="A988" s="174"/>
      <c r="B988" s="174"/>
      <c r="C988" s="174"/>
      <c r="D988" s="174"/>
      <c r="E988" s="174"/>
      <c r="F988" s="174"/>
      <c r="G988" s="174"/>
      <c r="H988" s="174"/>
    </row>
    <row r="989" spans="1:8" ht="14.25" customHeight="1">
      <c r="A989" s="174"/>
      <c r="B989" s="174"/>
      <c r="C989" s="174"/>
      <c r="D989" s="174"/>
      <c r="E989" s="174"/>
      <c r="F989" s="174"/>
      <c r="G989" s="174"/>
      <c r="H989" s="174"/>
    </row>
    <row r="990" spans="1:8" ht="14.25" customHeight="1">
      <c r="A990" s="174"/>
      <c r="B990" s="174"/>
      <c r="C990" s="174"/>
      <c r="D990" s="174"/>
      <c r="E990" s="174"/>
      <c r="F990" s="174"/>
      <c r="G990" s="174"/>
      <c r="H990" s="174"/>
    </row>
    <row r="991" spans="1:8" ht="14.25" customHeight="1">
      <c r="A991" s="174"/>
      <c r="B991" s="174"/>
      <c r="C991" s="174"/>
      <c r="D991" s="174"/>
      <c r="E991" s="174"/>
      <c r="F991" s="174"/>
      <c r="G991" s="174"/>
      <c r="H991" s="174"/>
    </row>
    <row r="992" spans="1:8" ht="14.25" customHeight="1">
      <c r="A992" s="174"/>
      <c r="B992" s="174"/>
      <c r="C992" s="174"/>
      <c r="D992" s="174"/>
      <c r="E992" s="174"/>
      <c r="F992" s="174"/>
      <c r="G992" s="174"/>
      <c r="H992" s="174"/>
    </row>
    <row r="993" spans="1:8" ht="14.25" customHeight="1">
      <c r="A993" s="174"/>
      <c r="B993" s="174"/>
      <c r="C993" s="174"/>
      <c r="D993" s="174"/>
      <c r="E993" s="174"/>
      <c r="F993" s="174"/>
      <c r="G993" s="174"/>
      <c r="H993" s="174"/>
    </row>
    <row r="994" spans="1:8" ht="14.25" customHeight="1">
      <c r="A994" s="174"/>
      <c r="B994" s="174"/>
      <c r="C994" s="174"/>
      <c r="D994" s="174"/>
      <c r="E994" s="174"/>
      <c r="F994" s="174"/>
      <c r="G994" s="174"/>
      <c r="H994" s="174"/>
    </row>
    <row r="995" spans="1:8" ht="14.25" customHeight="1">
      <c r="A995" s="174"/>
      <c r="B995" s="174"/>
      <c r="C995" s="174"/>
      <c r="D995" s="174"/>
      <c r="E995" s="174"/>
      <c r="F995" s="174"/>
      <c r="G995" s="174"/>
      <c r="H995" s="174"/>
    </row>
    <row r="996" spans="1:8" ht="14.25" customHeight="1">
      <c r="A996" s="174"/>
      <c r="B996" s="174"/>
      <c r="C996" s="174"/>
      <c r="D996" s="174"/>
      <c r="E996" s="174"/>
      <c r="F996" s="174"/>
      <c r="G996" s="174"/>
      <c r="H996" s="174"/>
    </row>
    <row r="997" spans="1:8" ht="14.25" customHeight="1">
      <c r="A997" s="174"/>
      <c r="B997" s="174"/>
      <c r="C997" s="174"/>
      <c r="D997" s="174"/>
      <c r="E997" s="174"/>
      <c r="F997" s="174"/>
      <c r="G997" s="174"/>
      <c r="H997" s="174"/>
    </row>
    <row r="998" spans="1:8" ht="14.25" customHeight="1">
      <c r="A998" s="174"/>
      <c r="B998" s="174"/>
      <c r="C998" s="174"/>
      <c r="D998" s="174"/>
      <c r="E998" s="174"/>
      <c r="F998" s="174"/>
      <c r="G998" s="174"/>
      <c r="H998" s="174"/>
    </row>
    <row r="999" spans="1:8" ht="14.25" customHeight="1">
      <c r="A999" s="174"/>
      <c r="B999" s="174"/>
      <c r="C999" s="174"/>
      <c r="D999" s="174"/>
      <c r="E999" s="174"/>
      <c r="F999" s="174"/>
      <c r="G999" s="174"/>
      <c r="H999" s="174"/>
    </row>
    <row r="1000" spans="1:8" ht="14.25" customHeight="1">
      <c r="A1000" s="174"/>
      <c r="B1000" s="174"/>
      <c r="C1000" s="174"/>
      <c r="D1000" s="174"/>
      <c r="E1000" s="174"/>
      <c r="F1000" s="174"/>
      <c r="G1000" s="174"/>
      <c r="H1000" s="174"/>
    </row>
  </sheetData>
  <phoneticPr fontId="26" type="noConversion"/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workbookViewId="0"/>
  </sheetViews>
  <sheetFormatPr baseColWidth="10" defaultColWidth="14.5" defaultRowHeight="15" customHeight="1"/>
  <cols>
    <col min="1" max="1" width="9" customWidth="1"/>
    <col min="2" max="3" width="8.6640625" customWidth="1"/>
    <col min="4" max="4" width="19.6640625" customWidth="1"/>
    <col min="5" max="26" width="8.6640625" customWidth="1"/>
  </cols>
  <sheetData>
    <row r="1" spans="1:22" ht="23.25" customHeight="1">
      <c r="A1" s="331" t="s">
        <v>243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</row>
    <row r="2" spans="1:22" ht="14.25" customHeight="1">
      <c r="A2" s="189"/>
      <c r="B2" s="190"/>
      <c r="C2" s="191"/>
      <c r="D2" s="192" t="s">
        <v>16</v>
      </c>
      <c r="E2" s="193" t="s">
        <v>26</v>
      </c>
      <c r="F2" s="193" t="s">
        <v>21</v>
      </c>
      <c r="G2" s="193" t="s">
        <v>244</v>
      </c>
      <c r="H2" s="193" t="s">
        <v>245</v>
      </c>
      <c r="I2" s="193" t="s">
        <v>246</v>
      </c>
      <c r="J2" s="193" t="s">
        <v>247</v>
      </c>
      <c r="K2" s="193" t="s">
        <v>248</v>
      </c>
      <c r="L2" s="193" t="s">
        <v>249</v>
      </c>
      <c r="M2" s="193" t="s">
        <v>250</v>
      </c>
      <c r="N2" s="194" t="s">
        <v>125</v>
      </c>
      <c r="O2" s="194" t="s">
        <v>251</v>
      </c>
      <c r="P2" s="194" t="s">
        <v>252</v>
      </c>
      <c r="Q2" s="194" t="s">
        <v>253</v>
      </c>
      <c r="R2" s="194" t="s">
        <v>254</v>
      </c>
      <c r="S2" s="195"/>
      <c r="T2" s="196"/>
      <c r="U2" s="196"/>
      <c r="V2" s="196"/>
    </row>
    <row r="3" spans="1:22" ht="14.25" customHeight="1">
      <c r="A3" s="189"/>
      <c r="B3" s="197"/>
      <c r="C3" s="198"/>
      <c r="D3" s="199" t="s">
        <v>255</v>
      </c>
      <c r="E3" s="200">
        <v>3436</v>
      </c>
      <c r="F3" s="200">
        <v>939</v>
      </c>
      <c r="G3" s="200">
        <v>0</v>
      </c>
      <c r="H3" s="200">
        <v>444</v>
      </c>
      <c r="I3" s="200">
        <v>0</v>
      </c>
      <c r="J3" s="200">
        <v>251</v>
      </c>
      <c r="K3" s="200">
        <v>0</v>
      </c>
      <c r="L3" s="200">
        <v>0</v>
      </c>
      <c r="M3" s="200">
        <v>1161</v>
      </c>
      <c r="N3" s="200">
        <v>220</v>
      </c>
      <c r="O3" s="200">
        <v>95</v>
      </c>
      <c r="P3" s="200">
        <v>0</v>
      </c>
      <c r="Q3" s="200">
        <v>966</v>
      </c>
      <c r="R3" s="200">
        <v>0</v>
      </c>
      <c r="S3" s="195"/>
      <c r="T3" s="196"/>
      <c r="U3" s="196"/>
      <c r="V3" s="196"/>
    </row>
    <row r="4" spans="1:22" ht="14.25" customHeight="1">
      <c r="A4" s="189"/>
      <c r="B4" s="197"/>
      <c r="C4" s="198"/>
      <c r="D4" s="199" t="s">
        <v>256</v>
      </c>
      <c r="E4" s="201">
        <f t="shared" ref="E4:R4" si="0">E3/7512</f>
        <v>0.45740149094781685</v>
      </c>
      <c r="F4" s="201">
        <f t="shared" si="0"/>
        <v>0.125</v>
      </c>
      <c r="G4" s="201">
        <f t="shared" si="0"/>
        <v>0</v>
      </c>
      <c r="H4" s="201">
        <f t="shared" si="0"/>
        <v>5.9105431309904151E-2</v>
      </c>
      <c r="I4" s="201">
        <f t="shared" si="0"/>
        <v>0</v>
      </c>
      <c r="J4" s="201">
        <f t="shared" si="0"/>
        <v>3.3413205537806176E-2</v>
      </c>
      <c r="K4" s="201">
        <f t="shared" si="0"/>
        <v>0</v>
      </c>
      <c r="L4" s="201">
        <f t="shared" si="0"/>
        <v>0</v>
      </c>
      <c r="M4" s="201">
        <f t="shared" si="0"/>
        <v>0.15455271565495207</v>
      </c>
      <c r="N4" s="201">
        <f t="shared" si="0"/>
        <v>2.9286474973375932E-2</v>
      </c>
      <c r="O4" s="201">
        <f t="shared" si="0"/>
        <v>1.264643237486688E-2</v>
      </c>
      <c r="P4" s="201">
        <f t="shared" si="0"/>
        <v>0</v>
      </c>
      <c r="Q4" s="201">
        <f t="shared" si="0"/>
        <v>0.12859424920127796</v>
      </c>
      <c r="R4" s="201">
        <f t="shared" si="0"/>
        <v>0</v>
      </c>
      <c r="S4" s="195"/>
      <c r="T4" s="196"/>
      <c r="U4" s="196"/>
      <c r="V4" s="196"/>
    </row>
    <row r="5" spans="1:22" ht="14.25" customHeight="1">
      <c r="A5" s="189"/>
      <c r="B5" s="197"/>
      <c r="C5" s="198"/>
      <c r="D5" s="199" t="s">
        <v>257</v>
      </c>
      <c r="E5" s="200">
        <v>14</v>
      </c>
      <c r="F5" s="200">
        <v>3</v>
      </c>
      <c r="G5" s="200">
        <v>0</v>
      </c>
      <c r="H5" s="200">
        <v>9</v>
      </c>
      <c r="I5" s="200">
        <v>0</v>
      </c>
      <c r="J5" s="200">
        <v>1</v>
      </c>
      <c r="K5" s="200">
        <v>0</v>
      </c>
      <c r="L5" s="200">
        <v>0</v>
      </c>
      <c r="M5" s="200">
        <v>7</v>
      </c>
      <c r="N5" s="200">
        <v>1</v>
      </c>
      <c r="O5" s="200">
        <v>2</v>
      </c>
      <c r="P5" s="200">
        <v>0</v>
      </c>
      <c r="Q5" s="200">
        <v>8</v>
      </c>
      <c r="R5" s="200">
        <v>0</v>
      </c>
      <c r="S5" s="195"/>
      <c r="T5" s="196"/>
      <c r="U5" s="196"/>
      <c r="V5" s="196"/>
    </row>
    <row r="6" spans="1:22" ht="14.25" customHeight="1">
      <c r="A6" s="189"/>
      <c r="B6" s="197"/>
      <c r="C6" s="202"/>
      <c r="D6" s="203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196"/>
      <c r="T6" s="196"/>
      <c r="U6" s="196"/>
      <c r="V6" s="196"/>
    </row>
    <row r="7" spans="1:22" ht="14.25" customHeight="1">
      <c r="A7" s="332" t="s">
        <v>258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</row>
    <row r="8" spans="1:22" ht="14.25" customHeight="1">
      <c r="A8" s="205"/>
      <c r="B8" s="206"/>
      <c r="C8" s="207"/>
      <c r="D8" s="208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</row>
    <row r="9" spans="1:22" ht="14.25" customHeight="1">
      <c r="A9" s="210" t="s">
        <v>15</v>
      </c>
      <c r="B9" s="211" t="s">
        <v>16</v>
      </c>
      <c r="C9" s="212" t="s">
        <v>259</v>
      </c>
      <c r="D9" s="213" t="s">
        <v>260</v>
      </c>
      <c r="E9" s="214" t="s">
        <v>261</v>
      </c>
      <c r="F9" s="214" t="s">
        <v>262</v>
      </c>
      <c r="G9" s="214" t="s">
        <v>263</v>
      </c>
      <c r="H9" s="214" t="s">
        <v>264</v>
      </c>
      <c r="I9" s="214" t="s">
        <v>265</v>
      </c>
      <c r="J9" s="214" t="s">
        <v>266</v>
      </c>
      <c r="K9" s="214" t="s">
        <v>267</v>
      </c>
      <c r="L9" s="214" t="s">
        <v>268</v>
      </c>
      <c r="M9" s="215" t="s">
        <v>269</v>
      </c>
      <c r="N9" s="215" t="s">
        <v>270</v>
      </c>
      <c r="O9" s="215" t="s">
        <v>271</v>
      </c>
      <c r="P9" s="215" t="s">
        <v>272</v>
      </c>
      <c r="Q9" s="216" t="s">
        <v>273</v>
      </c>
      <c r="R9" s="215" t="s">
        <v>274</v>
      </c>
      <c r="S9" s="216" t="s">
        <v>275</v>
      </c>
      <c r="T9" s="215" t="s">
        <v>276</v>
      </c>
      <c r="U9" s="216" t="s">
        <v>277</v>
      </c>
      <c r="V9" s="217" t="s">
        <v>278</v>
      </c>
    </row>
    <row r="10" spans="1:22" ht="14.25" customHeight="1">
      <c r="A10" s="218" t="s">
        <v>279</v>
      </c>
      <c r="B10" s="219" t="s">
        <v>253</v>
      </c>
      <c r="C10" s="220" t="s">
        <v>280</v>
      </c>
      <c r="D10" s="199"/>
      <c r="E10" s="221"/>
      <c r="F10" s="221"/>
      <c r="G10" s="221">
        <v>200</v>
      </c>
      <c r="H10" s="221">
        <v>80</v>
      </c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2"/>
    </row>
    <row r="11" spans="1:22" ht="14.25" customHeight="1">
      <c r="A11" s="223" t="s">
        <v>24</v>
      </c>
      <c r="B11" s="224" t="s">
        <v>245</v>
      </c>
      <c r="C11" s="220" t="s">
        <v>281</v>
      </c>
      <c r="D11" s="199"/>
      <c r="E11" s="221">
        <v>20</v>
      </c>
      <c r="F11" s="221"/>
      <c r="G11" s="221"/>
      <c r="H11" s="221"/>
      <c r="I11" s="221"/>
      <c r="J11" s="221"/>
      <c r="K11" s="221"/>
      <c r="L11" s="221"/>
      <c r="M11" s="221">
        <v>20</v>
      </c>
      <c r="N11" s="221"/>
      <c r="O11" s="221"/>
      <c r="P11" s="221"/>
      <c r="Q11" s="221"/>
      <c r="R11" s="221"/>
      <c r="S11" s="221"/>
      <c r="T11" s="221"/>
      <c r="U11" s="221"/>
      <c r="V11" s="222"/>
    </row>
    <row r="12" spans="1:22" ht="14.25" customHeight="1">
      <c r="A12" s="223" t="s">
        <v>24</v>
      </c>
      <c r="B12" s="194" t="s">
        <v>253</v>
      </c>
      <c r="C12" s="220" t="s">
        <v>282</v>
      </c>
      <c r="D12" s="199"/>
      <c r="E12" s="221">
        <v>26</v>
      </c>
      <c r="F12" s="221">
        <v>24</v>
      </c>
      <c r="G12" s="221"/>
      <c r="H12" s="221">
        <v>20</v>
      </c>
      <c r="I12" s="221"/>
      <c r="J12" s="221"/>
      <c r="K12" s="221"/>
      <c r="L12" s="221"/>
      <c r="M12" s="221">
        <v>50</v>
      </c>
      <c r="N12" s="221">
        <v>48</v>
      </c>
      <c r="O12" s="221"/>
      <c r="P12" s="221">
        <v>40</v>
      </c>
      <c r="Q12" s="221"/>
      <c r="R12" s="221"/>
      <c r="S12" s="221"/>
      <c r="T12" s="221"/>
      <c r="U12" s="221"/>
      <c r="V12" s="222"/>
    </row>
    <row r="13" spans="1:22" ht="14.25" customHeight="1">
      <c r="A13" s="218" t="s">
        <v>20</v>
      </c>
      <c r="B13" s="224" t="s">
        <v>21</v>
      </c>
      <c r="C13" s="220" t="s">
        <v>283</v>
      </c>
      <c r="D13" s="199"/>
      <c r="E13" s="221">
        <v>209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2"/>
    </row>
    <row r="14" spans="1:22" ht="14.25" customHeight="1">
      <c r="A14" s="223" t="s">
        <v>28</v>
      </c>
      <c r="B14" s="224" t="s">
        <v>26</v>
      </c>
      <c r="C14" s="225" t="s">
        <v>284</v>
      </c>
      <c r="D14" s="199"/>
      <c r="E14" s="221">
        <v>184</v>
      </c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2"/>
    </row>
    <row r="15" spans="1:22" ht="14.25" customHeight="1">
      <c r="A15" s="223" t="s">
        <v>285</v>
      </c>
      <c r="B15" s="224" t="s">
        <v>245</v>
      </c>
      <c r="C15" s="220" t="s">
        <v>286</v>
      </c>
      <c r="D15" s="199"/>
      <c r="E15" s="221">
        <v>5</v>
      </c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2"/>
    </row>
    <row r="16" spans="1:22" ht="14.25" customHeight="1">
      <c r="A16" s="223" t="s">
        <v>287</v>
      </c>
      <c r="B16" s="219" t="s">
        <v>253</v>
      </c>
      <c r="C16" s="220" t="s">
        <v>288</v>
      </c>
      <c r="D16" s="199"/>
      <c r="E16" s="221"/>
      <c r="F16" s="221"/>
      <c r="G16" s="221"/>
      <c r="H16" s="221">
        <v>48</v>
      </c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2"/>
    </row>
    <row r="17" spans="1:22" ht="14.25" customHeight="1">
      <c r="A17" s="226" t="s">
        <v>289</v>
      </c>
      <c r="B17" s="224" t="s">
        <v>245</v>
      </c>
      <c r="C17" s="227" t="s">
        <v>290</v>
      </c>
      <c r="D17" s="199"/>
      <c r="E17" s="221"/>
      <c r="F17" s="221"/>
      <c r="G17" s="221"/>
      <c r="H17" s="221">
        <v>20</v>
      </c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2"/>
    </row>
    <row r="18" spans="1:22" ht="14.25" customHeight="1">
      <c r="A18" s="228" t="s">
        <v>291</v>
      </c>
      <c r="B18" s="224" t="s">
        <v>245</v>
      </c>
      <c r="C18" s="229" t="s">
        <v>292</v>
      </c>
      <c r="D18" s="199"/>
      <c r="E18" s="221"/>
      <c r="F18" s="221"/>
      <c r="G18" s="221"/>
      <c r="H18" s="221">
        <v>50</v>
      </c>
      <c r="I18" s="221">
        <v>24</v>
      </c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2"/>
    </row>
    <row r="19" spans="1:22" ht="14.25" customHeight="1">
      <c r="A19" s="223" t="s">
        <v>293</v>
      </c>
      <c r="B19" s="224" t="s">
        <v>245</v>
      </c>
      <c r="C19" s="220" t="s">
        <v>294</v>
      </c>
      <c r="D19" s="199"/>
      <c r="E19" s="221">
        <v>80</v>
      </c>
      <c r="F19" s="221"/>
      <c r="G19" s="221"/>
      <c r="H19" s="221">
        <v>60</v>
      </c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2"/>
    </row>
    <row r="20" spans="1:22" ht="14.25" customHeight="1">
      <c r="A20" s="223" t="s">
        <v>293</v>
      </c>
      <c r="B20" s="219" t="s">
        <v>251</v>
      </c>
      <c r="C20" s="220" t="s">
        <v>295</v>
      </c>
      <c r="D20" s="199"/>
      <c r="E20" s="221">
        <v>10</v>
      </c>
      <c r="F20" s="221">
        <v>10</v>
      </c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2"/>
    </row>
    <row r="21" spans="1:22" ht="14.25" customHeight="1">
      <c r="A21" s="223" t="s">
        <v>296</v>
      </c>
      <c r="B21" s="224" t="s">
        <v>245</v>
      </c>
      <c r="C21" s="220" t="s">
        <v>297</v>
      </c>
      <c r="D21" s="199"/>
      <c r="E21" s="221"/>
      <c r="F21" s="221"/>
      <c r="G21" s="221"/>
      <c r="H21" s="221"/>
      <c r="I21" s="221"/>
      <c r="J21" s="221"/>
      <c r="K21" s="221"/>
      <c r="L21" s="221"/>
      <c r="M21" s="221"/>
      <c r="N21" s="221">
        <v>5</v>
      </c>
      <c r="O21" s="221">
        <v>20</v>
      </c>
      <c r="P21" s="221"/>
      <c r="Q21" s="221"/>
      <c r="R21" s="221"/>
      <c r="S21" s="221"/>
      <c r="T21" s="221"/>
      <c r="U21" s="221"/>
      <c r="V21" s="222"/>
    </row>
    <row r="22" spans="1:22" ht="14.25" customHeight="1">
      <c r="A22" s="226" t="s">
        <v>298</v>
      </c>
      <c r="B22" s="194" t="s">
        <v>253</v>
      </c>
      <c r="C22" s="227" t="s">
        <v>299</v>
      </c>
      <c r="D22" s="199"/>
      <c r="E22" s="221"/>
      <c r="F22" s="221"/>
      <c r="G22" s="221"/>
      <c r="H22" s="221"/>
      <c r="I22" s="221">
        <v>20</v>
      </c>
      <c r="J22" s="221"/>
      <c r="K22" s="221"/>
      <c r="L22" s="221"/>
      <c r="M22" s="221"/>
      <c r="N22" s="221">
        <v>42</v>
      </c>
      <c r="O22" s="221"/>
      <c r="P22" s="221"/>
      <c r="Q22" s="221"/>
      <c r="R22" s="221"/>
      <c r="S22" s="221"/>
      <c r="T22" s="221"/>
      <c r="U22" s="221"/>
      <c r="V22" s="222"/>
    </row>
    <row r="23" spans="1:22" ht="14.25" customHeight="1">
      <c r="A23" s="228" t="s">
        <v>300</v>
      </c>
      <c r="B23" s="224" t="s">
        <v>245</v>
      </c>
      <c r="C23" s="229" t="s">
        <v>301</v>
      </c>
      <c r="D23" s="199"/>
      <c r="E23" s="221">
        <v>80</v>
      </c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2"/>
    </row>
    <row r="24" spans="1:22" ht="14.25" customHeight="1">
      <c r="A24" s="223" t="s">
        <v>302</v>
      </c>
      <c r="B24" s="224" t="s">
        <v>250</v>
      </c>
      <c r="C24" s="220" t="s">
        <v>303</v>
      </c>
      <c r="D24" s="199"/>
      <c r="E24" s="221">
        <v>101</v>
      </c>
      <c r="F24" s="221"/>
      <c r="G24" s="221">
        <v>28</v>
      </c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2"/>
    </row>
    <row r="25" spans="1:22" ht="14.25" customHeight="1">
      <c r="A25" s="223" t="s">
        <v>304</v>
      </c>
      <c r="B25" s="224" t="s">
        <v>250</v>
      </c>
      <c r="C25" s="220" t="s">
        <v>305</v>
      </c>
      <c r="D25" s="199"/>
      <c r="E25" s="221">
        <v>259</v>
      </c>
      <c r="F25" s="221"/>
      <c r="G25" s="221">
        <v>112</v>
      </c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2"/>
    </row>
    <row r="26" spans="1:22" ht="14.25" customHeight="1">
      <c r="A26" s="223" t="s">
        <v>306</v>
      </c>
      <c r="B26" s="224" t="s">
        <v>250</v>
      </c>
      <c r="C26" s="220" t="s">
        <v>307</v>
      </c>
      <c r="D26" s="199"/>
      <c r="E26" s="221">
        <v>171</v>
      </c>
      <c r="F26" s="221"/>
      <c r="G26" s="221">
        <v>112</v>
      </c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2"/>
    </row>
    <row r="27" spans="1:22" ht="14.25" customHeight="1">
      <c r="A27" s="223" t="s">
        <v>308</v>
      </c>
      <c r="B27" s="224" t="s">
        <v>250</v>
      </c>
      <c r="C27" s="220" t="s">
        <v>309</v>
      </c>
      <c r="D27" s="199"/>
      <c r="E27" s="221">
        <v>203</v>
      </c>
      <c r="F27" s="221"/>
      <c r="G27" s="221">
        <v>50</v>
      </c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2"/>
    </row>
    <row r="28" spans="1:22" ht="14.25" customHeight="1">
      <c r="A28" s="226" t="s">
        <v>308</v>
      </c>
      <c r="B28" s="219" t="s">
        <v>251</v>
      </c>
      <c r="C28" s="227" t="s">
        <v>310</v>
      </c>
      <c r="D28" s="199"/>
      <c r="E28" s="221">
        <v>47</v>
      </c>
      <c r="F28" s="221"/>
      <c r="G28" s="221"/>
      <c r="H28" s="221">
        <v>28</v>
      </c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2"/>
    </row>
    <row r="29" spans="1:22" ht="14.25" customHeight="1">
      <c r="A29" s="228" t="s">
        <v>40</v>
      </c>
      <c r="B29" s="224" t="s">
        <v>26</v>
      </c>
      <c r="C29" s="229" t="s">
        <v>311</v>
      </c>
      <c r="D29" s="199"/>
      <c r="E29" s="221">
        <v>240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2"/>
    </row>
    <row r="30" spans="1:22" ht="14.25" customHeight="1">
      <c r="A30" s="226" t="s">
        <v>51</v>
      </c>
      <c r="B30" s="224" t="s">
        <v>26</v>
      </c>
      <c r="C30" s="227" t="s">
        <v>312</v>
      </c>
      <c r="D30" s="199"/>
      <c r="E30" s="221">
        <v>227</v>
      </c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2"/>
    </row>
    <row r="31" spans="1:22" ht="14.25" customHeight="1">
      <c r="A31" s="228" t="s">
        <v>62</v>
      </c>
      <c r="B31" s="224" t="s">
        <v>26</v>
      </c>
      <c r="C31" s="229" t="s">
        <v>313</v>
      </c>
      <c r="D31" s="199"/>
      <c r="E31" s="221">
        <v>211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2"/>
    </row>
    <row r="32" spans="1:22" ht="14.25" customHeight="1">
      <c r="A32" s="226" t="s">
        <v>72</v>
      </c>
      <c r="B32" s="224" t="s">
        <v>26</v>
      </c>
      <c r="C32" s="227" t="s">
        <v>314</v>
      </c>
      <c r="D32" s="199"/>
      <c r="E32" s="221">
        <v>400</v>
      </c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2"/>
    </row>
    <row r="33" spans="1:22" ht="14.25" customHeight="1">
      <c r="A33" s="228" t="s">
        <v>82</v>
      </c>
      <c r="B33" s="224" t="s">
        <v>26</v>
      </c>
      <c r="C33" s="229" t="s">
        <v>315</v>
      </c>
      <c r="D33" s="199"/>
      <c r="E33" s="221">
        <v>199</v>
      </c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2"/>
    </row>
    <row r="34" spans="1:22" ht="14.25" customHeight="1">
      <c r="A34" s="223" t="s">
        <v>88</v>
      </c>
      <c r="B34" s="224" t="s">
        <v>21</v>
      </c>
      <c r="C34" s="220" t="s">
        <v>316</v>
      </c>
      <c r="D34" s="199"/>
      <c r="E34" s="221">
        <v>200</v>
      </c>
      <c r="F34" s="221"/>
      <c r="G34" s="221">
        <v>84</v>
      </c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2"/>
    </row>
    <row r="35" spans="1:22" ht="14.25" customHeight="1">
      <c r="A35" s="230">
        <v>43067</v>
      </c>
      <c r="B35" s="224" t="s">
        <v>247</v>
      </c>
      <c r="C35" s="227" t="s">
        <v>317</v>
      </c>
      <c r="D35" s="199" t="s">
        <v>318</v>
      </c>
      <c r="E35" s="221"/>
      <c r="F35" s="221">
        <v>251</v>
      </c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2"/>
    </row>
    <row r="36" spans="1:22" ht="14.25" customHeight="1">
      <c r="A36" s="231">
        <v>43074</v>
      </c>
      <c r="B36" s="219" t="s">
        <v>253</v>
      </c>
      <c r="C36" s="220" t="s">
        <v>319</v>
      </c>
      <c r="D36" s="199"/>
      <c r="E36" s="221"/>
      <c r="F36" s="221"/>
      <c r="G36" s="221"/>
      <c r="H36" s="221"/>
      <c r="I36" s="221"/>
      <c r="J36" s="221"/>
      <c r="K36" s="221"/>
      <c r="L36" s="221"/>
      <c r="M36" s="221"/>
      <c r="N36" s="221">
        <v>20</v>
      </c>
      <c r="O36" s="221">
        <v>30</v>
      </c>
      <c r="P36" s="221"/>
      <c r="Q36" s="221"/>
      <c r="R36" s="221"/>
      <c r="S36" s="221"/>
      <c r="T36" s="221"/>
      <c r="U36" s="221"/>
      <c r="V36" s="222"/>
    </row>
    <row r="37" spans="1:22" ht="14.25" customHeight="1">
      <c r="A37" s="231" t="s">
        <v>99</v>
      </c>
      <c r="B37" s="224" t="s">
        <v>26</v>
      </c>
      <c r="C37" s="220" t="s">
        <v>320</v>
      </c>
      <c r="D37" s="199"/>
      <c r="E37" s="221">
        <v>600</v>
      </c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2"/>
    </row>
    <row r="38" spans="1:22" ht="14.25" customHeight="1">
      <c r="A38" s="231" t="s">
        <v>99</v>
      </c>
      <c r="B38" s="224" t="s">
        <v>245</v>
      </c>
      <c r="C38" s="220" t="s">
        <v>321</v>
      </c>
      <c r="D38" s="199"/>
      <c r="E38" s="221"/>
      <c r="F38" s="221"/>
      <c r="G38" s="221"/>
      <c r="H38" s="221">
        <v>20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2"/>
    </row>
    <row r="39" spans="1:22" ht="14.25" customHeight="1">
      <c r="A39" s="232">
        <v>43082</v>
      </c>
      <c r="B39" s="224" t="s">
        <v>21</v>
      </c>
      <c r="C39" s="233" t="s">
        <v>322</v>
      </c>
      <c r="D39" s="199"/>
      <c r="E39" s="221"/>
      <c r="F39" s="221"/>
      <c r="G39" s="221">
        <v>446</v>
      </c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2"/>
    </row>
    <row r="40" spans="1:22" ht="14.25" customHeight="1">
      <c r="A40" s="232">
        <v>43085</v>
      </c>
      <c r="B40" s="224" t="s">
        <v>26</v>
      </c>
      <c r="C40" s="233" t="s">
        <v>323</v>
      </c>
      <c r="D40" s="199"/>
      <c r="E40" s="221">
        <v>80</v>
      </c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2"/>
    </row>
    <row r="41" spans="1:22" ht="14.25" customHeight="1">
      <c r="A41" s="232">
        <v>43086</v>
      </c>
      <c r="B41" s="224" t="s">
        <v>250</v>
      </c>
      <c r="C41" s="233" t="s">
        <v>324</v>
      </c>
      <c r="D41" s="199"/>
      <c r="E41" s="221"/>
      <c r="F41" s="221"/>
      <c r="G41" s="221"/>
      <c r="H41" s="221">
        <v>20</v>
      </c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2"/>
    </row>
    <row r="42" spans="1:22" ht="14.25" customHeight="1">
      <c r="A42" s="231">
        <v>43086</v>
      </c>
      <c r="B42" s="224" t="s">
        <v>250</v>
      </c>
      <c r="C42" s="233" t="s">
        <v>325</v>
      </c>
      <c r="D42" s="199"/>
      <c r="E42" s="221"/>
      <c r="F42" s="221"/>
      <c r="G42" s="221"/>
      <c r="H42" s="221"/>
      <c r="I42" s="221"/>
      <c r="J42" s="221"/>
      <c r="K42" s="221"/>
      <c r="L42" s="221"/>
      <c r="M42" s="221"/>
      <c r="N42" s="221">
        <v>20</v>
      </c>
      <c r="O42" s="221">
        <v>5</v>
      </c>
      <c r="P42" s="221"/>
      <c r="Q42" s="221"/>
      <c r="R42" s="221"/>
      <c r="S42" s="221"/>
      <c r="T42" s="221"/>
      <c r="U42" s="221"/>
      <c r="V42" s="222"/>
    </row>
    <row r="43" spans="1:22" ht="14.25" customHeight="1">
      <c r="A43" s="231" t="s">
        <v>120</v>
      </c>
      <c r="B43" s="224" t="s">
        <v>26</v>
      </c>
      <c r="C43" s="233" t="s">
        <v>326</v>
      </c>
      <c r="D43" s="199"/>
      <c r="E43" s="221">
        <v>360</v>
      </c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2"/>
    </row>
    <row r="44" spans="1:22" ht="14.25" customHeight="1">
      <c r="A44" s="231" t="s">
        <v>120</v>
      </c>
      <c r="B44" s="224" t="s">
        <v>245</v>
      </c>
      <c r="C44" s="233" t="s">
        <v>327</v>
      </c>
      <c r="D44" s="199"/>
      <c r="E44" s="221">
        <v>40</v>
      </c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2"/>
    </row>
    <row r="45" spans="1:22" ht="14.25" customHeight="1">
      <c r="A45" s="231" t="s">
        <v>128</v>
      </c>
      <c r="B45" s="219" t="s">
        <v>125</v>
      </c>
      <c r="C45" s="233" t="s">
        <v>328</v>
      </c>
      <c r="D45" s="199"/>
      <c r="E45" s="221">
        <v>80</v>
      </c>
      <c r="F45" s="221"/>
      <c r="G45" s="221">
        <v>140</v>
      </c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2"/>
    </row>
    <row r="46" spans="1:22" ht="14.25" customHeight="1">
      <c r="A46" s="231" t="s">
        <v>329</v>
      </c>
      <c r="B46" s="219" t="s">
        <v>253</v>
      </c>
      <c r="C46" s="227" t="s">
        <v>330</v>
      </c>
      <c r="D46" s="199"/>
      <c r="E46" s="221">
        <v>40</v>
      </c>
      <c r="F46" s="221"/>
      <c r="G46" s="221">
        <v>28</v>
      </c>
      <c r="H46" s="221">
        <v>20</v>
      </c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2"/>
    </row>
    <row r="47" spans="1:22" ht="14.25" customHeight="1">
      <c r="A47" s="231" t="s">
        <v>146</v>
      </c>
      <c r="B47" s="224" t="s">
        <v>26</v>
      </c>
      <c r="C47" s="233" t="s">
        <v>331</v>
      </c>
      <c r="D47" s="199"/>
      <c r="E47" s="221">
        <v>120</v>
      </c>
      <c r="F47" s="221">
        <v>80</v>
      </c>
      <c r="G47" s="221">
        <v>56</v>
      </c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2"/>
    </row>
    <row r="48" spans="1:22" ht="14.25" customHeight="1">
      <c r="A48" s="231" t="s">
        <v>154</v>
      </c>
      <c r="B48" s="224" t="s">
        <v>26</v>
      </c>
      <c r="C48" s="233" t="s">
        <v>332</v>
      </c>
      <c r="D48" s="199"/>
      <c r="E48" s="221">
        <v>160</v>
      </c>
      <c r="F48" s="221">
        <v>80</v>
      </c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2"/>
    </row>
    <row r="49" spans="1:22" ht="14.25" customHeight="1">
      <c r="A49" s="231" t="s">
        <v>333</v>
      </c>
      <c r="B49" s="219" t="s">
        <v>253</v>
      </c>
      <c r="C49" s="227" t="s">
        <v>334</v>
      </c>
      <c r="D49" s="199"/>
      <c r="E49" s="221"/>
      <c r="F49" s="221"/>
      <c r="G49" s="221"/>
      <c r="H49" s="221"/>
      <c r="I49" s="221"/>
      <c r="J49" s="221"/>
      <c r="K49" s="221"/>
      <c r="L49" s="221"/>
      <c r="M49" s="221"/>
      <c r="N49" s="221">
        <v>30</v>
      </c>
      <c r="O49" s="221">
        <v>30</v>
      </c>
      <c r="P49" s="221">
        <v>30</v>
      </c>
      <c r="Q49" s="221"/>
      <c r="R49" s="221"/>
      <c r="S49" s="221"/>
      <c r="T49" s="221"/>
      <c r="U49" s="221"/>
      <c r="V49" s="222"/>
    </row>
    <row r="50" spans="1:22" ht="14.25" customHeight="1">
      <c r="A50" s="231" t="s">
        <v>162</v>
      </c>
      <c r="B50" s="224" t="s">
        <v>26</v>
      </c>
      <c r="C50" s="233" t="s">
        <v>335</v>
      </c>
      <c r="D50" s="199"/>
      <c r="E50" s="221">
        <v>160</v>
      </c>
      <c r="F50" s="221"/>
      <c r="G50" s="221">
        <v>28</v>
      </c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2"/>
    </row>
    <row r="51" spans="1:22" ht="14.25" customHeight="1">
      <c r="A51" s="231" t="s">
        <v>336</v>
      </c>
      <c r="B51" s="219" t="s">
        <v>253</v>
      </c>
      <c r="C51" s="233" t="s">
        <v>337</v>
      </c>
      <c r="D51" s="199"/>
      <c r="E51" s="221">
        <v>40</v>
      </c>
      <c r="F51" s="221"/>
      <c r="G51" s="221"/>
      <c r="H51" s="221">
        <v>60</v>
      </c>
      <c r="I51" s="221"/>
      <c r="J51" s="221"/>
      <c r="K51" s="221">
        <v>40</v>
      </c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2"/>
    </row>
    <row r="52" spans="1:22" ht="14.25" customHeight="1">
      <c r="A52" s="231" t="s">
        <v>172</v>
      </c>
      <c r="B52" s="224" t="s">
        <v>26</v>
      </c>
      <c r="C52" s="233" t="s">
        <v>338</v>
      </c>
      <c r="D52" s="199"/>
      <c r="E52" s="221">
        <v>120</v>
      </c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2"/>
    </row>
    <row r="53" spans="1:22" ht="14.25" customHeight="1">
      <c r="A53" s="231" t="s">
        <v>181</v>
      </c>
      <c r="B53" s="224" t="s">
        <v>26</v>
      </c>
      <c r="C53" s="233" t="s">
        <v>339</v>
      </c>
      <c r="D53" s="199"/>
      <c r="E53" s="221">
        <v>80</v>
      </c>
      <c r="F53" s="221">
        <v>80</v>
      </c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2"/>
    </row>
    <row r="54" spans="1:22" ht="14.25" customHeight="1">
      <c r="A54" s="231" t="s">
        <v>192</v>
      </c>
      <c r="B54" s="224" t="s">
        <v>26</v>
      </c>
      <c r="C54" s="233" t="s">
        <v>340</v>
      </c>
      <c r="D54" s="199"/>
      <c r="E54" s="221">
        <v>42</v>
      </c>
      <c r="F54" s="221"/>
      <c r="G54" s="221">
        <v>9</v>
      </c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2"/>
    </row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V1"/>
    <mergeCell ref="A7:V7"/>
  </mergeCells>
  <phoneticPr fontId="26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baseColWidth="10" defaultColWidth="14.5" defaultRowHeight="15" customHeight="1"/>
  <cols>
    <col min="1" max="1" width="3.5" customWidth="1"/>
    <col min="2" max="2" width="10.5" customWidth="1"/>
    <col min="3" max="3" width="8.6640625" customWidth="1"/>
    <col min="4" max="4" width="31.6640625" customWidth="1"/>
    <col min="5" max="5" width="7.6640625" customWidth="1"/>
    <col min="6" max="7" width="8.6640625" customWidth="1"/>
    <col min="8" max="9" width="8.83203125" customWidth="1"/>
    <col min="10" max="13" width="8.6640625" customWidth="1"/>
    <col min="14" max="14" width="8.83203125" customWidth="1"/>
    <col min="15" max="26" width="8.6640625" customWidth="1"/>
  </cols>
  <sheetData>
    <row r="1" spans="1:23" ht="23.25" customHeight="1">
      <c r="B1" s="333" t="s">
        <v>341</v>
      </c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</row>
    <row r="2" spans="1:23" ht="14.25" customHeight="1">
      <c r="B2" s="234"/>
      <c r="C2" s="235"/>
      <c r="D2" s="236"/>
      <c r="E2" s="237" t="s">
        <v>16</v>
      </c>
      <c r="F2" s="238" t="s">
        <v>26</v>
      </c>
      <c r="G2" s="238" t="s">
        <v>21</v>
      </c>
      <c r="H2" s="238" t="s">
        <v>244</v>
      </c>
      <c r="I2" s="237" t="s">
        <v>245</v>
      </c>
      <c r="J2" s="238" t="s">
        <v>246</v>
      </c>
      <c r="K2" s="238" t="s">
        <v>247</v>
      </c>
      <c r="L2" s="238" t="s">
        <v>248</v>
      </c>
      <c r="M2" s="238" t="s">
        <v>249</v>
      </c>
      <c r="N2" s="237" t="s">
        <v>250</v>
      </c>
      <c r="O2" s="239" t="s">
        <v>125</v>
      </c>
      <c r="P2" s="239" t="s">
        <v>251</v>
      </c>
      <c r="Q2" s="239" t="s">
        <v>252</v>
      </c>
      <c r="R2" s="239" t="s">
        <v>253</v>
      </c>
      <c r="S2" s="239" t="s">
        <v>254</v>
      </c>
      <c r="T2" s="240"/>
      <c r="U2" s="241"/>
      <c r="V2" s="241"/>
      <c r="W2" s="241"/>
    </row>
    <row r="3" spans="1:23" ht="14.25" customHeight="1">
      <c r="B3" s="234"/>
      <c r="C3" s="242"/>
      <c r="D3" s="243"/>
      <c r="E3" s="244" t="s">
        <v>255</v>
      </c>
      <c r="F3" s="245">
        <v>3739</v>
      </c>
      <c r="G3" s="245">
        <v>1084</v>
      </c>
      <c r="H3" s="246">
        <v>0</v>
      </c>
      <c r="I3" s="247">
        <v>503</v>
      </c>
      <c r="J3" s="245">
        <v>0</v>
      </c>
      <c r="K3" s="245">
        <v>0</v>
      </c>
      <c r="L3" s="245">
        <v>0</v>
      </c>
      <c r="M3" s="245">
        <v>180</v>
      </c>
      <c r="N3" s="247">
        <v>0</v>
      </c>
      <c r="O3" s="245">
        <v>0</v>
      </c>
      <c r="P3" s="245">
        <v>95</v>
      </c>
      <c r="Q3" s="245">
        <v>0</v>
      </c>
      <c r="R3" s="245">
        <v>305</v>
      </c>
      <c r="S3" s="245">
        <v>0</v>
      </c>
      <c r="T3" s="240"/>
      <c r="U3" s="241"/>
      <c r="V3" s="241"/>
      <c r="W3" s="241"/>
    </row>
    <row r="4" spans="1:23" ht="14.25" customHeight="1">
      <c r="B4" s="234"/>
      <c r="C4" s="242"/>
      <c r="D4" s="243"/>
      <c r="E4" s="244" t="s">
        <v>256</v>
      </c>
      <c r="F4" s="248">
        <f t="shared" ref="F4:S4" si="0">F3/7512</f>
        <v>0.49773695420660274</v>
      </c>
      <c r="G4" s="248">
        <f t="shared" si="0"/>
        <v>0.14430244941427051</v>
      </c>
      <c r="H4" s="249">
        <f t="shared" si="0"/>
        <v>0</v>
      </c>
      <c r="I4" s="250">
        <f t="shared" si="0"/>
        <v>6.6959531416400431E-2</v>
      </c>
      <c r="J4" s="248">
        <f t="shared" si="0"/>
        <v>0</v>
      </c>
      <c r="K4" s="248">
        <f t="shared" si="0"/>
        <v>0</v>
      </c>
      <c r="L4" s="248">
        <f t="shared" si="0"/>
        <v>0</v>
      </c>
      <c r="M4" s="248">
        <f t="shared" si="0"/>
        <v>2.3961661341853034E-2</v>
      </c>
      <c r="N4" s="250">
        <f t="shared" si="0"/>
        <v>0</v>
      </c>
      <c r="O4" s="248">
        <f t="shared" si="0"/>
        <v>0</v>
      </c>
      <c r="P4" s="248">
        <f t="shared" si="0"/>
        <v>1.264643237486688E-2</v>
      </c>
      <c r="Q4" s="248">
        <f t="shared" si="0"/>
        <v>0</v>
      </c>
      <c r="R4" s="248">
        <f t="shared" si="0"/>
        <v>4.060170394036209E-2</v>
      </c>
      <c r="S4" s="248">
        <f t="shared" si="0"/>
        <v>0</v>
      </c>
      <c r="T4" s="240"/>
      <c r="U4" s="241"/>
      <c r="V4" s="241"/>
      <c r="W4" s="241"/>
    </row>
    <row r="5" spans="1:23" ht="14.25" customHeight="1">
      <c r="B5" s="234"/>
      <c r="C5" s="242"/>
      <c r="D5" s="243"/>
      <c r="E5" s="244" t="s">
        <v>257</v>
      </c>
      <c r="F5" s="245">
        <v>18</v>
      </c>
      <c r="G5" s="245">
        <v>3</v>
      </c>
      <c r="H5" s="246">
        <v>0</v>
      </c>
      <c r="I5" s="247">
        <v>7</v>
      </c>
      <c r="J5" s="245">
        <v>0</v>
      </c>
      <c r="K5" s="245">
        <v>0</v>
      </c>
      <c r="L5" s="245">
        <v>0</v>
      </c>
      <c r="M5" s="245">
        <v>3</v>
      </c>
      <c r="N5" s="247">
        <v>0</v>
      </c>
      <c r="O5" s="245">
        <v>0</v>
      </c>
      <c r="P5" s="245">
        <v>2</v>
      </c>
      <c r="Q5" s="245">
        <v>0</v>
      </c>
      <c r="R5" s="245">
        <v>1</v>
      </c>
      <c r="S5" s="245">
        <v>0</v>
      </c>
      <c r="T5" s="240"/>
      <c r="U5" s="241"/>
      <c r="V5" s="241"/>
      <c r="W5" s="241"/>
    </row>
    <row r="6" spans="1:23" ht="14.25" customHeight="1">
      <c r="B6" s="234"/>
      <c r="C6" s="242"/>
      <c r="D6" s="251"/>
      <c r="E6" s="252"/>
      <c r="F6" s="253"/>
      <c r="G6" s="253"/>
      <c r="H6" s="254"/>
      <c r="I6" s="255"/>
      <c r="J6" s="253"/>
      <c r="K6" s="253"/>
      <c r="L6" s="253"/>
      <c r="M6" s="253"/>
      <c r="N6" s="255"/>
      <c r="O6" s="253"/>
      <c r="P6" s="253"/>
      <c r="Q6" s="253"/>
      <c r="R6" s="253"/>
      <c r="S6" s="253"/>
      <c r="T6" s="241"/>
      <c r="U6" s="241"/>
      <c r="V6" s="241"/>
      <c r="W6" s="241"/>
    </row>
    <row r="7" spans="1:23" ht="14.25" customHeight="1">
      <c r="B7" s="334" t="s">
        <v>342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</row>
    <row r="8" spans="1:23" ht="14.25" customHeight="1">
      <c r="B8" s="256"/>
      <c r="C8" s="257"/>
      <c r="D8" s="258"/>
      <c r="E8" s="259"/>
      <c r="F8" s="260"/>
      <c r="G8" s="260"/>
      <c r="H8" s="261"/>
      <c r="I8" s="262"/>
      <c r="J8" s="260"/>
      <c r="K8" s="260"/>
      <c r="L8" s="260"/>
      <c r="M8" s="260"/>
      <c r="N8" s="262"/>
      <c r="O8" s="260"/>
      <c r="P8" s="260"/>
      <c r="Q8" s="260"/>
      <c r="R8" s="260"/>
      <c r="S8" s="260"/>
      <c r="T8" s="260"/>
      <c r="U8" s="260"/>
      <c r="V8" s="260"/>
      <c r="W8" s="260"/>
    </row>
    <row r="9" spans="1:23" ht="14.25" customHeight="1">
      <c r="B9" s="10" t="s">
        <v>15</v>
      </c>
      <c r="C9" s="11" t="s">
        <v>16</v>
      </c>
      <c r="D9" s="12" t="s">
        <v>259</v>
      </c>
      <c r="E9" s="263" t="s">
        <v>260</v>
      </c>
      <c r="F9" s="264" t="s">
        <v>261</v>
      </c>
      <c r="G9" s="264" t="s">
        <v>262</v>
      </c>
      <c r="H9" s="264" t="s">
        <v>263</v>
      </c>
      <c r="I9" s="263" t="s">
        <v>264</v>
      </c>
      <c r="J9" s="264" t="s">
        <v>265</v>
      </c>
      <c r="K9" s="264" t="s">
        <v>266</v>
      </c>
      <c r="L9" s="264" t="s">
        <v>267</v>
      </c>
      <c r="M9" s="264" t="s">
        <v>268</v>
      </c>
      <c r="N9" s="265" t="s">
        <v>269</v>
      </c>
      <c r="O9" s="266" t="s">
        <v>270</v>
      </c>
      <c r="P9" s="266" t="s">
        <v>271</v>
      </c>
      <c r="Q9" s="266" t="s">
        <v>272</v>
      </c>
      <c r="R9" s="266" t="s">
        <v>273</v>
      </c>
      <c r="S9" s="266" t="s">
        <v>274</v>
      </c>
      <c r="T9" s="266" t="s">
        <v>275</v>
      </c>
      <c r="U9" s="266" t="s">
        <v>276</v>
      </c>
      <c r="V9" s="266" t="s">
        <v>277</v>
      </c>
      <c r="W9" s="267" t="s">
        <v>278</v>
      </c>
    </row>
    <row r="10" spans="1:23" ht="14.25" customHeight="1">
      <c r="A10" s="4">
        <v>1</v>
      </c>
      <c r="B10" s="268" t="s">
        <v>343</v>
      </c>
      <c r="C10" s="269" t="s">
        <v>21</v>
      </c>
      <c r="D10" s="40" t="s">
        <v>344</v>
      </c>
      <c r="E10" s="247"/>
      <c r="F10" s="246"/>
      <c r="G10" s="246"/>
      <c r="H10" s="246">
        <v>280</v>
      </c>
      <c r="I10" s="247"/>
      <c r="J10" s="246">
        <v>47</v>
      </c>
      <c r="K10" s="246"/>
      <c r="L10" s="246"/>
      <c r="M10" s="246"/>
      <c r="N10" s="247"/>
      <c r="O10" s="246"/>
      <c r="P10" s="246"/>
      <c r="Q10" s="246"/>
      <c r="R10" s="246"/>
      <c r="S10" s="246"/>
      <c r="T10" s="246"/>
      <c r="U10" s="246"/>
      <c r="V10" s="246"/>
      <c r="W10" s="270"/>
    </row>
    <row r="11" spans="1:23" ht="14.25" customHeight="1">
      <c r="A11" s="4">
        <v>2</v>
      </c>
      <c r="B11" s="268" t="s">
        <v>345</v>
      </c>
      <c r="C11" s="269" t="s">
        <v>245</v>
      </c>
      <c r="D11" s="40" t="s">
        <v>346</v>
      </c>
      <c r="E11" s="247"/>
      <c r="F11" s="246"/>
      <c r="G11" s="246"/>
      <c r="H11" s="246"/>
      <c r="I11" s="247">
        <v>20</v>
      </c>
      <c r="J11" s="246"/>
      <c r="K11" s="246"/>
      <c r="L11" s="246"/>
      <c r="M11" s="246"/>
      <c r="N11" s="247"/>
      <c r="O11" s="246"/>
      <c r="P11" s="246"/>
      <c r="Q11" s="246"/>
      <c r="R11" s="246"/>
      <c r="S11" s="246"/>
      <c r="T11" s="246"/>
      <c r="U11" s="246"/>
      <c r="V11" s="246"/>
      <c r="W11" s="270"/>
    </row>
    <row r="12" spans="1:23" ht="14.25" customHeight="1">
      <c r="A12" s="4">
        <v>3</v>
      </c>
      <c r="B12" s="271">
        <v>43275</v>
      </c>
      <c r="C12" s="272" t="s">
        <v>347</v>
      </c>
      <c r="D12" s="273" t="s">
        <v>348</v>
      </c>
      <c r="E12" s="247"/>
      <c r="F12" s="246"/>
      <c r="G12" s="246"/>
      <c r="H12" s="246"/>
      <c r="I12" s="247"/>
      <c r="J12" s="246">
        <v>40</v>
      </c>
      <c r="K12" s="246"/>
      <c r="L12" s="246"/>
      <c r="M12" s="246"/>
      <c r="N12" s="247">
        <v>30</v>
      </c>
      <c r="O12" s="246"/>
      <c r="P12" s="246"/>
      <c r="Q12" s="246"/>
      <c r="R12" s="246"/>
      <c r="S12" s="246"/>
      <c r="T12" s="246"/>
      <c r="U12" s="246"/>
      <c r="V12" s="246"/>
      <c r="W12" s="270"/>
    </row>
    <row r="13" spans="1:23" ht="14.25" customHeight="1">
      <c r="A13" s="4">
        <v>4</v>
      </c>
      <c r="B13" s="271">
        <v>43310</v>
      </c>
      <c r="C13" s="114" t="s">
        <v>251</v>
      </c>
      <c r="D13" s="40" t="s">
        <v>349</v>
      </c>
      <c r="E13" s="247"/>
      <c r="F13" s="246"/>
      <c r="G13" s="246"/>
      <c r="H13" s="246"/>
      <c r="I13" s="247"/>
      <c r="J13" s="246"/>
      <c r="K13" s="246"/>
      <c r="L13" s="246"/>
      <c r="M13" s="246"/>
      <c r="N13" s="247">
        <v>45</v>
      </c>
      <c r="O13" s="246"/>
      <c r="P13" s="246"/>
      <c r="Q13" s="246"/>
      <c r="R13" s="246"/>
      <c r="S13" s="246"/>
      <c r="T13" s="246"/>
      <c r="U13" s="246"/>
      <c r="V13" s="246"/>
      <c r="W13" s="270"/>
    </row>
    <row r="14" spans="1:23" ht="14.25" customHeight="1">
      <c r="A14" s="4">
        <v>5</v>
      </c>
      <c r="B14" s="271">
        <v>43355</v>
      </c>
      <c r="C14" s="39" t="s">
        <v>26</v>
      </c>
      <c r="D14" s="40" t="s">
        <v>350</v>
      </c>
      <c r="E14" s="247"/>
      <c r="F14" s="246">
        <v>100</v>
      </c>
      <c r="G14" s="246"/>
      <c r="H14" s="246"/>
      <c r="I14" s="247"/>
      <c r="J14" s="246"/>
      <c r="K14" s="246"/>
      <c r="L14" s="246"/>
      <c r="M14" s="246"/>
      <c r="N14" s="247"/>
      <c r="O14" s="246"/>
      <c r="P14" s="246"/>
      <c r="Q14" s="246"/>
      <c r="R14" s="246"/>
      <c r="S14" s="246"/>
      <c r="T14" s="246"/>
      <c r="U14" s="246"/>
      <c r="V14" s="246"/>
      <c r="W14" s="270"/>
    </row>
    <row r="15" spans="1:23" ht="14.25" customHeight="1">
      <c r="A15" s="4">
        <v>6</v>
      </c>
      <c r="B15" s="271">
        <v>43362</v>
      </c>
      <c r="C15" s="39" t="s">
        <v>26</v>
      </c>
      <c r="D15" s="40" t="s">
        <v>351</v>
      </c>
      <c r="E15" s="247"/>
      <c r="F15" s="246">
        <v>126</v>
      </c>
      <c r="G15" s="246"/>
      <c r="H15" s="246"/>
      <c r="I15" s="247"/>
      <c r="J15" s="246"/>
      <c r="K15" s="246"/>
      <c r="L15" s="246"/>
      <c r="M15" s="246"/>
      <c r="N15" s="247"/>
      <c r="O15" s="246"/>
      <c r="P15" s="246"/>
      <c r="Q15" s="246"/>
      <c r="R15" s="246"/>
      <c r="S15" s="246"/>
      <c r="T15" s="246"/>
      <c r="U15" s="246"/>
      <c r="V15" s="246"/>
      <c r="W15" s="270"/>
    </row>
    <row r="16" spans="1:23" ht="14.25" customHeight="1">
      <c r="A16" s="4">
        <v>7</v>
      </c>
      <c r="B16" s="271">
        <v>43376</v>
      </c>
      <c r="C16" s="39" t="s">
        <v>26</v>
      </c>
      <c r="D16" s="55" t="s">
        <v>352</v>
      </c>
      <c r="E16" s="247"/>
      <c r="F16" s="246">
        <v>240</v>
      </c>
      <c r="G16" s="246"/>
      <c r="H16" s="246"/>
      <c r="I16" s="247"/>
      <c r="J16" s="246"/>
      <c r="K16" s="246"/>
      <c r="L16" s="246"/>
      <c r="M16" s="246"/>
      <c r="N16" s="247"/>
      <c r="O16" s="246"/>
      <c r="P16" s="246"/>
      <c r="Q16" s="246"/>
      <c r="R16" s="246"/>
      <c r="S16" s="246"/>
      <c r="T16" s="246"/>
      <c r="U16" s="246"/>
      <c r="V16" s="246"/>
      <c r="W16" s="270"/>
    </row>
    <row r="17" spans="1:23" ht="14.25" customHeight="1">
      <c r="A17" s="4">
        <v>8</v>
      </c>
      <c r="B17" s="271">
        <v>43418</v>
      </c>
      <c r="C17" s="269" t="s">
        <v>245</v>
      </c>
      <c r="D17" s="40" t="s">
        <v>346</v>
      </c>
      <c r="E17" s="247"/>
      <c r="F17" s="246"/>
      <c r="G17" s="246"/>
      <c r="H17" s="246"/>
      <c r="I17" s="247">
        <v>20</v>
      </c>
      <c r="J17" s="246"/>
      <c r="K17" s="246"/>
      <c r="L17" s="246"/>
      <c r="M17" s="246"/>
      <c r="N17" s="247"/>
      <c r="O17" s="246"/>
      <c r="P17" s="246"/>
      <c r="Q17" s="246"/>
      <c r="R17" s="246"/>
      <c r="S17" s="246"/>
      <c r="T17" s="246"/>
      <c r="U17" s="246"/>
      <c r="V17" s="246"/>
      <c r="W17" s="270"/>
    </row>
    <row r="18" spans="1:23" ht="14.25" customHeight="1">
      <c r="A18" s="4">
        <v>9</v>
      </c>
      <c r="B18" s="271">
        <v>43418</v>
      </c>
      <c r="C18" s="272" t="s">
        <v>347</v>
      </c>
      <c r="D18" s="273" t="s">
        <v>353</v>
      </c>
      <c r="E18" s="247"/>
      <c r="F18" s="246"/>
      <c r="G18" s="246"/>
      <c r="H18" s="246"/>
      <c r="I18" s="247"/>
      <c r="J18" s="246"/>
      <c r="K18" s="246"/>
      <c r="L18" s="246"/>
      <c r="M18" s="246"/>
      <c r="N18" s="247">
        <v>50</v>
      </c>
      <c r="O18" s="246">
        <v>30</v>
      </c>
      <c r="P18" s="246"/>
      <c r="Q18" s="246"/>
      <c r="R18" s="246"/>
      <c r="S18" s="246"/>
      <c r="T18" s="246"/>
      <c r="U18" s="246"/>
      <c r="V18" s="246"/>
      <c r="W18" s="270"/>
    </row>
    <row r="19" spans="1:23" ht="14.25" customHeight="1">
      <c r="A19" s="4">
        <v>10</v>
      </c>
      <c r="B19" s="271">
        <v>43391</v>
      </c>
      <c r="C19" s="39" t="s">
        <v>26</v>
      </c>
      <c r="D19" s="40" t="s">
        <v>354</v>
      </c>
      <c r="E19" s="247"/>
      <c r="F19" s="246">
        <v>80</v>
      </c>
      <c r="G19" s="246"/>
      <c r="H19" s="246"/>
      <c r="I19" s="247"/>
      <c r="J19" s="246"/>
      <c r="K19" s="246"/>
      <c r="L19" s="246"/>
      <c r="M19" s="246"/>
      <c r="N19" s="247"/>
      <c r="O19" s="246"/>
      <c r="P19" s="246"/>
      <c r="Q19" s="246"/>
      <c r="R19" s="246"/>
      <c r="S19" s="246"/>
      <c r="T19" s="246"/>
      <c r="U19" s="246"/>
      <c r="V19" s="246"/>
      <c r="W19" s="270"/>
    </row>
    <row r="20" spans="1:23" ht="14.25" customHeight="1">
      <c r="A20" s="4">
        <v>11</v>
      </c>
      <c r="B20" s="271">
        <v>43404</v>
      </c>
      <c r="C20" s="39" t="s">
        <v>26</v>
      </c>
      <c r="D20" s="40" t="s">
        <v>355</v>
      </c>
      <c r="E20" s="247"/>
      <c r="F20" s="246">
        <v>375</v>
      </c>
      <c r="G20" s="246"/>
      <c r="H20" s="246"/>
      <c r="I20" s="247"/>
      <c r="J20" s="246"/>
      <c r="K20" s="246"/>
      <c r="L20" s="246"/>
      <c r="M20" s="246"/>
      <c r="N20" s="247"/>
      <c r="O20" s="246"/>
      <c r="P20" s="246"/>
      <c r="Q20" s="246"/>
      <c r="R20" s="246"/>
      <c r="S20" s="246"/>
      <c r="T20" s="246"/>
      <c r="U20" s="246"/>
      <c r="V20" s="246"/>
      <c r="W20" s="270"/>
    </row>
    <row r="21" spans="1:23" ht="14.25" customHeight="1">
      <c r="A21" s="4">
        <v>12</v>
      </c>
      <c r="B21" s="271">
        <v>43411</v>
      </c>
      <c r="C21" s="39" t="s">
        <v>26</v>
      </c>
      <c r="D21" s="40" t="s">
        <v>356</v>
      </c>
      <c r="E21" s="247"/>
      <c r="F21" s="246">
        <v>120</v>
      </c>
      <c r="G21" s="246"/>
      <c r="H21" s="246">
        <v>61</v>
      </c>
      <c r="I21" s="247"/>
      <c r="J21" s="246"/>
      <c r="K21" s="246"/>
      <c r="L21" s="246"/>
      <c r="M21" s="246"/>
      <c r="N21" s="247"/>
      <c r="O21" s="246"/>
      <c r="P21" s="246"/>
      <c r="Q21" s="246"/>
      <c r="R21" s="246"/>
      <c r="S21" s="246"/>
      <c r="T21" s="246"/>
      <c r="U21" s="246"/>
      <c r="V21" s="246"/>
      <c r="W21" s="270"/>
    </row>
    <row r="22" spans="1:23" ht="14.25" customHeight="1">
      <c r="A22" s="4">
        <v>13</v>
      </c>
      <c r="B22" s="271">
        <v>43411</v>
      </c>
      <c r="C22" s="269" t="s">
        <v>245</v>
      </c>
      <c r="D22" s="40" t="s">
        <v>357</v>
      </c>
      <c r="E22" s="247"/>
      <c r="F22" s="246"/>
      <c r="G22" s="246"/>
      <c r="H22" s="246">
        <v>23</v>
      </c>
      <c r="I22" s="247"/>
      <c r="J22" s="246"/>
      <c r="K22" s="246"/>
      <c r="L22" s="246"/>
      <c r="M22" s="246"/>
      <c r="N22" s="247"/>
      <c r="O22" s="246"/>
      <c r="P22" s="246"/>
      <c r="Q22" s="246"/>
      <c r="R22" s="246"/>
      <c r="S22" s="246"/>
      <c r="T22" s="246"/>
      <c r="U22" s="246"/>
      <c r="V22" s="246"/>
      <c r="W22" s="270"/>
    </row>
    <row r="23" spans="1:23" ht="14.25" customHeight="1">
      <c r="A23" s="4">
        <v>14</v>
      </c>
      <c r="B23" s="271">
        <v>43418</v>
      </c>
      <c r="C23" s="272" t="s">
        <v>347</v>
      </c>
      <c r="D23" s="273" t="s">
        <v>358</v>
      </c>
      <c r="E23" s="247"/>
      <c r="F23" s="246"/>
      <c r="G23" s="246"/>
      <c r="H23" s="246"/>
      <c r="I23" s="247"/>
      <c r="J23" s="246"/>
      <c r="K23" s="246"/>
      <c r="L23" s="246"/>
      <c r="M23" s="246"/>
      <c r="N23" s="247"/>
      <c r="O23" s="246">
        <v>30</v>
      </c>
      <c r="P23" s="246"/>
      <c r="Q23" s="246"/>
      <c r="R23" s="246"/>
      <c r="S23" s="246"/>
      <c r="T23" s="246"/>
      <c r="U23" s="246"/>
      <c r="V23" s="246"/>
      <c r="W23" s="270"/>
    </row>
    <row r="24" spans="1:23" ht="14.25" customHeight="1">
      <c r="A24" s="4">
        <v>15</v>
      </c>
      <c r="B24" s="271">
        <v>43418</v>
      </c>
      <c r="C24" s="269" t="s">
        <v>245</v>
      </c>
      <c r="D24" s="40" t="s">
        <v>359</v>
      </c>
      <c r="E24" s="247"/>
      <c r="F24" s="246"/>
      <c r="G24" s="246"/>
      <c r="H24" s="246"/>
      <c r="I24" s="247"/>
      <c r="J24" s="246"/>
      <c r="K24" s="246"/>
      <c r="L24" s="246"/>
      <c r="M24" s="246"/>
      <c r="N24" s="247">
        <v>10</v>
      </c>
      <c r="O24" s="246">
        <v>10</v>
      </c>
      <c r="P24" s="246"/>
      <c r="Q24" s="246">
        <v>10</v>
      </c>
      <c r="R24" s="246"/>
      <c r="S24" s="246"/>
      <c r="T24" s="246"/>
      <c r="U24" s="246"/>
      <c r="V24" s="246"/>
      <c r="W24" s="270"/>
    </row>
    <row r="25" spans="1:23" ht="14.25" customHeight="1">
      <c r="A25" s="4">
        <v>16</v>
      </c>
      <c r="B25" s="271">
        <v>43418</v>
      </c>
      <c r="C25" s="269" t="s">
        <v>21</v>
      </c>
      <c r="D25" s="40" t="s">
        <v>360</v>
      </c>
      <c r="E25" s="247"/>
      <c r="F25" s="246">
        <v>94</v>
      </c>
      <c r="G25" s="246"/>
      <c r="H25" s="246">
        <v>115</v>
      </c>
      <c r="I25" s="247"/>
      <c r="J25" s="246"/>
      <c r="K25" s="246"/>
      <c r="L25" s="246"/>
      <c r="M25" s="246"/>
      <c r="N25" s="247"/>
      <c r="O25" s="246"/>
      <c r="P25" s="246"/>
      <c r="Q25" s="246"/>
      <c r="R25" s="246"/>
      <c r="S25" s="246"/>
      <c r="T25" s="246"/>
      <c r="U25" s="246"/>
      <c r="V25" s="246"/>
      <c r="W25" s="270"/>
    </row>
    <row r="26" spans="1:23" ht="14.25" customHeight="1">
      <c r="A26" s="4">
        <v>17</v>
      </c>
      <c r="B26" s="271">
        <v>43800</v>
      </c>
      <c r="C26" s="272" t="s">
        <v>361</v>
      </c>
      <c r="D26" s="40" t="s">
        <v>362</v>
      </c>
      <c r="E26" s="247"/>
      <c r="F26" s="246">
        <v>103</v>
      </c>
      <c r="G26" s="246"/>
      <c r="H26" s="246"/>
      <c r="I26" s="247">
        <v>191</v>
      </c>
      <c r="J26" s="246"/>
      <c r="K26" s="246"/>
      <c r="L26" s="246"/>
      <c r="M26" s="246"/>
      <c r="N26" s="247">
        <v>1</v>
      </c>
      <c r="O26" s="246">
        <v>10</v>
      </c>
      <c r="P26" s="246"/>
      <c r="Q26" s="246"/>
      <c r="R26" s="246"/>
      <c r="S26" s="246"/>
      <c r="T26" s="246"/>
      <c r="U26" s="246"/>
      <c r="V26" s="246"/>
      <c r="W26" s="270"/>
    </row>
    <row r="27" spans="1:23" ht="14.25" customHeight="1">
      <c r="A27" s="4">
        <v>18</v>
      </c>
      <c r="B27" s="271">
        <v>43804</v>
      </c>
      <c r="C27" s="39" t="s">
        <v>26</v>
      </c>
      <c r="D27" s="40" t="s">
        <v>363</v>
      </c>
      <c r="E27" s="247"/>
      <c r="F27" s="246">
        <v>560</v>
      </c>
      <c r="G27" s="246"/>
      <c r="H27" s="246"/>
      <c r="I27" s="247"/>
      <c r="J27" s="246"/>
      <c r="K27" s="246"/>
      <c r="L27" s="246"/>
      <c r="M27" s="246"/>
      <c r="N27" s="247"/>
      <c r="O27" s="246"/>
      <c r="P27" s="246"/>
      <c r="Q27" s="246"/>
      <c r="R27" s="246"/>
      <c r="S27" s="246"/>
      <c r="T27" s="246"/>
      <c r="U27" s="246"/>
      <c r="V27" s="246"/>
      <c r="W27" s="270"/>
    </row>
    <row r="28" spans="1:23" ht="14.25" customHeight="1">
      <c r="A28" s="4">
        <v>19</v>
      </c>
      <c r="B28" s="271">
        <v>43811</v>
      </c>
      <c r="C28" s="269" t="s">
        <v>21</v>
      </c>
      <c r="D28" s="40" t="s">
        <v>364</v>
      </c>
      <c r="E28" s="247"/>
      <c r="F28" s="246"/>
      <c r="G28" s="246"/>
      <c r="H28" s="246">
        <v>540</v>
      </c>
      <c r="I28" s="247">
        <v>8</v>
      </c>
      <c r="J28" s="246"/>
      <c r="K28" s="246"/>
      <c r="L28" s="246"/>
      <c r="M28" s="246"/>
      <c r="N28" s="247"/>
      <c r="O28" s="246"/>
      <c r="P28" s="246"/>
      <c r="Q28" s="246"/>
      <c r="R28" s="246"/>
      <c r="S28" s="246"/>
      <c r="T28" s="246"/>
      <c r="U28" s="246"/>
      <c r="V28" s="246"/>
      <c r="W28" s="270"/>
    </row>
    <row r="29" spans="1:23" ht="14.25" customHeight="1">
      <c r="A29" s="4">
        <v>20</v>
      </c>
      <c r="B29" s="271">
        <v>43820</v>
      </c>
      <c r="C29" s="269" t="s">
        <v>245</v>
      </c>
      <c r="D29" s="40" t="s">
        <v>365</v>
      </c>
      <c r="E29" s="247"/>
      <c r="F29" s="246">
        <v>160</v>
      </c>
      <c r="G29" s="246"/>
      <c r="H29" s="246"/>
      <c r="I29" s="247">
        <v>40</v>
      </c>
      <c r="J29" s="246"/>
      <c r="K29" s="246"/>
      <c r="L29" s="246"/>
      <c r="M29" s="246"/>
      <c r="N29" s="247"/>
      <c r="O29" s="246"/>
      <c r="P29" s="246"/>
      <c r="Q29" s="246"/>
      <c r="R29" s="246"/>
      <c r="S29" s="246"/>
      <c r="T29" s="246"/>
      <c r="U29" s="246"/>
      <c r="V29" s="246"/>
      <c r="W29" s="270"/>
    </row>
    <row r="30" spans="1:23" ht="14.25" customHeight="1">
      <c r="A30" s="4">
        <v>21</v>
      </c>
      <c r="B30" s="271">
        <v>43474</v>
      </c>
      <c r="C30" s="39" t="s">
        <v>26</v>
      </c>
      <c r="D30" s="40" t="s">
        <v>366</v>
      </c>
      <c r="E30" s="40"/>
      <c r="F30" s="246">
        <v>363</v>
      </c>
      <c r="G30" s="40"/>
      <c r="H30" s="274"/>
      <c r="I30" s="274"/>
      <c r="J30" s="40"/>
      <c r="K30" s="40"/>
      <c r="L30" s="40"/>
      <c r="M30" s="40"/>
      <c r="N30" s="274"/>
      <c r="O30" s="40"/>
      <c r="P30" s="40"/>
      <c r="Q30" s="40"/>
      <c r="R30" s="40"/>
      <c r="S30" s="40"/>
      <c r="T30" s="40"/>
      <c r="U30" s="40"/>
      <c r="V30" s="40"/>
      <c r="W30" s="275"/>
    </row>
    <row r="31" spans="1:23" ht="14.25" customHeight="1">
      <c r="A31" s="4">
        <v>22</v>
      </c>
      <c r="B31" s="271">
        <v>43509</v>
      </c>
      <c r="C31" s="39" t="s">
        <v>26</v>
      </c>
      <c r="D31" s="40" t="s">
        <v>367</v>
      </c>
      <c r="E31" s="40"/>
      <c r="F31" s="246">
        <v>267</v>
      </c>
      <c r="G31" s="40"/>
      <c r="H31" s="274"/>
      <c r="I31" s="274"/>
      <c r="J31" s="40"/>
      <c r="K31" s="40"/>
      <c r="L31" s="40"/>
      <c r="M31" s="40"/>
      <c r="N31" s="274"/>
      <c r="O31" s="40"/>
      <c r="P31" s="40"/>
      <c r="Q31" s="40"/>
      <c r="R31" s="40"/>
      <c r="S31" s="40"/>
      <c r="T31" s="40"/>
      <c r="U31" s="40"/>
      <c r="V31" s="40"/>
      <c r="W31" s="275"/>
    </row>
    <row r="32" spans="1:23" ht="14.25" customHeight="1">
      <c r="A32" s="4">
        <v>23</v>
      </c>
      <c r="B32" s="271">
        <v>43516</v>
      </c>
      <c r="C32" s="39" t="s">
        <v>26</v>
      </c>
      <c r="D32" s="40" t="s">
        <v>368</v>
      </c>
      <c r="E32" s="40"/>
      <c r="F32" s="246">
        <v>200</v>
      </c>
      <c r="G32" s="40"/>
      <c r="H32" s="274"/>
      <c r="I32" s="274"/>
      <c r="J32" s="40"/>
      <c r="K32" s="40"/>
      <c r="L32" s="40"/>
      <c r="M32" s="40"/>
      <c r="N32" s="274"/>
      <c r="O32" s="40"/>
      <c r="P32" s="40"/>
      <c r="Q32" s="40"/>
      <c r="R32" s="40"/>
      <c r="S32" s="40"/>
      <c r="T32" s="40"/>
      <c r="U32" s="40"/>
      <c r="V32" s="40"/>
      <c r="W32" s="275"/>
    </row>
    <row r="33" spans="1:23" ht="14.25" customHeight="1">
      <c r="A33" s="4">
        <v>24</v>
      </c>
      <c r="B33" s="271">
        <v>43531</v>
      </c>
      <c r="C33" s="39" t="s">
        <v>26</v>
      </c>
      <c r="D33" s="40" t="s">
        <v>369</v>
      </c>
      <c r="E33" s="40"/>
      <c r="F33" s="246">
        <v>40</v>
      </c>
      <c r="G33" s="40"/>
      <c r="H33" s="274"/>
      <c r="I33" s="274"/>
      <c r="J33" s="40"/>
      <c r="K33" s="40"/>
      <c r="L33" s="40"/>
      <c r="M33" s="40"/>
      <c r="N33" s="274"/>
      <c r="O33" s="40"/>
      <c r="P33" s="40"/>
      <c r="Q33" s="40"/>
      <c r="R33" s="40"/>
      <c r="S33" s="40"/>
      <c r="T33" s="40"/>
      <c r="U33" s="40"/>
      <c r="V33" s="40"/>
      <c r="W33" s="275"/>
    </row>
    <row r="34" spans="1:23" ht="14.25" customHeight="1">
      <c r="A34" s="4">
        <v>25</v>
      </c>
      <c r="B34" s="271">
        <v>43537</v>
      </c>
      <c r="C34" s="39" t="s">
        <v>26</v>
      </c>
      <c r="D34" s="40" t="s">
        <v>370</v>
      </c>
      <c r="E34" s="40"/>
      <c r="F34" s="246">
        <v>360</v>
      </c>
      <c r="G34" s="40"/>
      <c r="H34" s="274"/>
      <c r="I34" s="274"/>
      <c r="J34" s="40"/>
      <c r="K34" s="40"/>
      <c r="L34" s="40"/>
      <c r="M34" s="40"/>
      <c r="N34" s="274"/>
      <c r="O34" s="40"/>
      <c r="P34" s="40"/>
      <c r="Q34" s="40"/>
      <c r="R34" s="40"/>
      <c r="S34" s="40"/>
      <c r="T34" s="40"/>
      <c r="U34" s="40"/>
      <c r="V34" s="40"/>
      <c r="W34" s="275"/>
    </row>
    <row r="35" spans="1:23" ht="14.25" customHeight="1">
      <c r="A35" s="4">
        <v>26</v>
      </c>
      <c r="B35" s="271">
        <v>43537</v>
      </c>
      <c r="C35" s="114" t="s">
        <v>251</v>
      </c>
      <c r="D35" s="40" t="s">
        <v>371</v>
      </c>
      <c r="E35" s="40"/>
      <c r="F35" s="40"/>
      <c r="G35" s="40"/>
      <c r="H35" s="274"/>
      <c r="I35" s="274"/>
      <c r="J35" s="40"/>
      <c r="K35" s="40"/>
      <c r="L35" s="40"/>
      <c r="M35" s="40"/>
      <c r="N35" s="274">
        <v>50</v>
      </c>
      <c r="O35" s="40"/>
      <c r="P35" s="40"/>
      <c r="Q35" s="40"/>
      <c r="R35" s="40"/>
      <c r="S35" s="40"/>
      <c r="T35" s="40"/>
      <c r="U35" s="40"/>
      <c r="V35" s="40"/>
      <c r="W35" s="275"/>
    </row>
    <row r="36" spans="1:23" ht="14.25" customHeight="1">
      <c r="A36" s="4">
        <v>27</v>
      </c>
      <c r="B36" s="271">
        <v>43565</v>
      </c>
      <c r="C36" s="39" t="s">
        <v>26</v>
      </c>
      <c r="D36" s="40" t="s">
        <v>372</v>
      </c>
      <c r="E36" s="40"/>
      <c r="F36" s="246">
        <v>157</v>
      </c>
      <c r="G36" s="40"/>
      <c r="H36" s="274"/>
      <c r="I36" s="274"/>
      <c r="J36" s="40"/>
      <c r="K36" s="40"/>
      <c r="L36" s="40"/>
      <c r="M36" s="40"/>
      <c r="N36" s="274"/>
      <c r="O36" s="40"/>
      <c r="P36" s="40"/>
      <c r="Q36" s="40"/>
      <c r="R36" s="40"/>
      <c r="S36" s="40"/>
      <c r="T36" s="40"/>
      <c r="U36" s="40"/>
      <c r="V36" s="40"/>
      <c r="W36" s="275"/>
    </row>
    <row r="37" spans="1:23" ht="14.25" customHeight="1">
      <c r="A37" s="4">
        <v>28</v>
      </c>
      <c r="B37" s="271">
        <v>43573</v>
      </c>
      <c r="C37" s="39" t="s">
        <v>26</v>
      </c>
      <c r="D37" s="40" t="s">
        <v>373</v>
      </c>
      <c r="E37" s="40"/>
      <c r="F37" s="246">
        <v>250</v>
      </c>
      <c r="G37" s="40"/>
      <c r="H37" s="274"/>
      <c r="I37" s="274"/>
      <c r="J37" s="40"/>
      <c r="K37" s="40"/>
      <c r="L37" s="40"/>
      <c r="M37" s="40"/>
      <c r="N37" s="274"/>
      <c r="O37" s="40"/>
      <c r="P37" s="40"/>
      <c r="Q37" s="40"/>
      <c r="R37" s="40"/>
      <c r="S37" s="40"/>
      <c r="T37" s="40"/>
      <c r="U37" s="40"/>
      <c r="V37" s="40"/>
      <c r="W37" s="275"/>
    </row>
    <row r="38" spans="1:23" ht="14.25" customHeight="1">
      <c r="A38" s="4">
        <v>29</v>
      </c>
      <c r="B38" s="271">
        <v>43588</v>
      </c>
      <c r="C38" s="39" t="s">
        <v>26</v>
      </c>
      <c r="D38" s="40" t="s">
        <v>374</v>
      </c>
      <c r="E38" s="40"/>
      <c r="F38" s="246">
        <v>240</v>
      </c>
      <c r="G38" s="40"/>
      <c r="H38" s="274"/>
      <c r="I38" s="274"/>
      <c r="J38" s="40"/>
      <c r="K38" s="40"/>
      <c r="L38" s="40"/>
      <c r="M38" s="40"/>
      <c r="N38" s="274"/>
      <c r="O38" s="40"/>
      <c r="P38" s="40"/>
      <c r="Q38" s="40"/>
      <c r="R38" s="40"/>
      <c r="S38" s="40"/>
      <c r="T38" s="40"/>
      <c r="U38" s="40"/>
      <c r="V38" s="40"/>
      <c r="W38" s="275"/>
    </row>
    <row r="39" spans="1:23" ht="14.25" customHeight="1">
      <c r="A39" s="4">
        <v>30</v>
      </c>
      <c r="B39" s="271">
        <v>43588</v>
      </c>
      <c r="C39" s="269" t="s">
        <v>245</v>
      </c>
      <c r="D39" s="40" t="s">
        <v>375</v>
      </c>
      <c r="E39" s="40"/>
      <c r="F39" s="246"/>
      <c r="G39" s="40"/>
      <c r="H39" s="274"/>
      <c r="I39" s="274">
        <v>40</v>
      </c>
      <c r="J39" s="40"/>
      <c r="K39" s="40"/>
      <c r="L39" s="40"/>
      <c r="M39" s="40"/>
      <c r="N39" s="274"/>
      <c r="O39" s="40"/>
      <c r="P39" s="40"/>
      <c r="Q39" s="40"/>
      <c r="R39" s="40"/>
      <c r="S39" s="40"/>
      <c r="T39" s="40"/>
      <c r="U39" s="40"/>
      <c r="V39" s="40"/>
      <c r="W39" s="275"/>
    </row>
    <row r="40" spans="1:23" ht="14.25" customHeight="1">
      <c r="A40" s="4">
        <v>31</v>
      </c>
      <c r="B40" s="271">
        <v>43588</v>
      </c>
      <c r="C40" s="269" t="s">
        <v>245</v>
      </c>
      <c r="D40" s="40" t="s">
        <v>376</v>
      </c>
      <c r="E40" s="40"/>
      <c r="F40" s="246">
        <v>30</v>
      </c>
      <c r="G40" s="40"/>
      <c r="H40" s="274">
        <v>10</v>
      </c>
      <c r="I40" s="274">
        <v>120</v>
      </c>
      <c r="J40" s="40"/>
      <c r="K40" s="40"/>
      <c r="L40" s="40"/>
      <c r="M40" s="40"/>
      <c r="N40" s="274">
        <v>10</v>
      </c>
      <c r="O40" s="40"/>
      <c r="P40" s="40"/>
      <c r="Q40" s="40"/>
      <c r="R40" s="40"/>
      <c r="S40" s="40"/>
      <c r="T40" s="40"/>
      <c r="U40" s="40"/>
      <c r="V40" s="40"/>
      <c r="W40" s="275"/>
    </row>
    <row r="41" spans="1:23" ht="14.25" customHeight="1">
      <c r="A41" s="4">
        <v>32</v>
      </c>
      <c r="B41" s="271">
        <v>43593</v>
      </c>
      <c r="C41" s="39" t="s">
        <v>26</v>
      </c>
      <c r="D41" s="40" t="s">
        <v>377</v>
      </c>
      <c r="E41" s="40"/>
      <c r="F41" s="246">
        <v>80</v>
      </c>
      <c r="G41" s="40"/>
      <c r="H41" s="274"/>
      <c r="I41" s="274"/>
      <c r="J41" s="40"/>
      <c r="K41" s="40"/>
      <c r="L41" s="40"/>
      <c r="M41" s="40"/>
      <c r="N41" s="274"/>
      <c r="O41" s="40"/>
      <c r="P41" s="40"/>
      <c r="Q41" s="40"/>
      <c r="R41" s="40"/>
      <c r="S41" s="40"/>
      <c r="T41" s="40"/>
      <c r="U41" s="40"/>
      <c r="V41" s="40"/>
      <c r="W41" s="275"/>
    </row>
    <row r="42" spans="1:23" ht="14.25" customHeight="1">
      <c r="A42" s="4">
        <v>33</v>
      </c>
      <c r="B42" s="276">
        <v>43600</v>
      </c>
      <c r="C42" s="277" t="s">
        <v>26</v>
      </c>
      <c r="D42" s="168" t="s">
        <v>378</v>
      </c>
      <c r="E42" s="168"/>
      <c r="F42" s="278">
        <v>40</v>
      </c>
      <c r="G42" s="168"/>
      <c r="H42" s="279"/>
      <c r="I42" s="279"/>
      <c r="J42" s="168"/>
      <c r="K42" s="168"/>
      <c r="L42" s="168"/>
      <c r="M42" s="168"/>
      <c r="N42" s="279"/>
      <c r="O42" s="168"/>
      <c r="P42" s="168"/>
      <c r="Q42" s="168"/>
      <c r="R42" s="168"/>
      <c r="S42" s="168"/>
      <c r="T42" s="168"/>
      <c r="U42" s="168"/>
      <c r="V42" s="168"/>
      <c r="W42" s="280"/>
    </row>
    <row r="43" spans="1:23" ht="14.25" customHeight="1">
      <c r="H43" s="281"/>
      <c r="I43" s="281"/>
      <c r="N43" s="281"/>
    </row>
    <row r="44" spans="1:23" ht="14.25" customHeight="1">
      <c r="H44" s="281"/>
      <c r="I44" s="281"/>
      <c r="N44" s="281"/>
    </row>
    <row r="45" spans="1:23" ht="14.25" customHeight="1">
      <c r="H45" s="281"/>
      <c r="I45" s="281"/>
      <c r="N45" s="281"/>
    </row>
    <row r="46" spans="1:23" ht="14.25" customHeight="1">
      <c r="H46" s="281"/>
      <c r="I46" s="281"/>
      <c r="N46" s="281"/>
    </row>
    <row r="47" spans="1:23" ht="14.25" customHeight="1">
      <c r="H47" s="281"/>
      <c r="I47" s="281"/>
      <c r="N47" s="281"/>
    </row>
    <row r="48" spans="1:23" ht="14.25" customHeight="1">
      <c r="H48" s="281"/>
      <c r="I48" s="281"/>
      <c r="N48" s="281"/>
    </row>
    <row r="49" spans="8:14" ht="14.25" customHeight="1">
      <c r="H49" s="281"/>
      <c r="I49" s="281"/>
      <c r="N49" s="281"/>
    </row>
    <row r="50" spans="8:14" ht="14.25" customHeight="1">
      <c r="H50" s="281"/>
      <c r="I50" s="281"/>
      <c r="N50" s="281"/>
    </row>
    <row r="51" spans="8:14" ht="14.25" customHeight="1">
      <c r="H51" s="281"/>
      <c r="I51" s="281"/>
      <c r="N51" s="281"/>
    </row>
    <row r="52" spans="8:14" ht="14.25" customHeight="1">
      <c r="H52" s="281"/>
      <c r="I52" s="281"/>
      <c r="N52" s="281"/>
    </row>
    <row r="53" spans="8:14" ht="14.25" customHeight="1">
      <c r="H53" s="281"/>
      <c r="I53" s="281"/>
      <c r="N53" s="281"/>
    </row>
    <row r="54" spans="8:14" ht="14.25" customHeight="1">
      <c r="H54" s="281"/>
      <c r="I54" s="281"/>
      <c r="N54" s="281"/>
    </row>
    <row r="55" spans="8:14" ht="14.25" customHeight="1">
      <c r="H55" s="281"/>
      <c r="I55" s="281"/>
      <c r="N55" s="281"/>
    </row>
    <row r="56" spans="8:14" ht="14.25" customHeight="1">
      <c r="H56" s="281"/>
      <c r="I56" s="281"/>
      <c r="N56" s="281"/>
    </row>
    <row r="57" spans="8:14" ht="14.25" customHeight="1">
      <c r="H57" s="281"/>
      <c r="I57" s="281"/>
      <c r="N57" s="281"/>
    </row>
    <row r="58" spans="8:14" ht="14.25" customHeight="1">
      <c r="H58" s="281"/>
      <c r="I58" s="281"/>
      <c r="N58" s="281"/>
    </row>
    <row r="59" spans="8:14" ht="14.25" customHeight="1">
      <c r="H59" s="281"/>
      <c r="I59" s="281"/>
      <c r="N59" s="281"/>
    </row>
    <row r="60" spans="8:14" ht="14.25" customHeight="1">
      <c r="H60" s="281"/>
      <c r="I60" s="281"/>
      <c r="N60" s="281"/>
    </row>
    <row r="61" spans="8:14" ht="14.25" customHeight="1">
      <c r="H61" s="281"/>
      <c r="I61" s="281"/>
      <c r="N61" s="281"/>
    </row>
    <row r="62" spans="8:14" ht="14.25" customHeight="1">
      <c r="H62" s="281"/>
      <c r="I62" s="281"/>
      <c r="N62" s="281"/>
    </row>
    <row r="63" spans="8:14" ht="14.25" customHeight="1">
      <c r="H63" s="281"/>
      <c r="I63" s="281"/>
      <c r="N63" s="281"/>
    </row>
    <row r="64" spans="8:14" ht="14.25" customHeight="1">
      <c r="H64" s="281"/>
      <c r="I64" s="281"/>
      <c r="N64" s="281"/>
    </row>
    <row r="65" spans="8:14" ht="14.25" customHeight="1">
      <c r="H65" s="281"/>
      <c r="I65" s="281"/>
      <c r="N65" s="281"/>
    </row>
    <row r="66" spans="8:14" ht="14.25" customHeight="1">
      <c r="H66" s="281"/>
      <c r="I66" s="281"/>
      <c r="N66" s="281"/>
    </row>
    <row r="67" spans="8:14" ht="14.25" customHeight="1">
      <c r="H67" s="281"/>
      <c r="I67" s="281"/>
      <c r="N67" s="281"/>
    </row>
    <row r="68" spans="8:14" ht="14.25" customHeight="1">
      <c r="H68" s="281"/>
      <c r="I68" s="281"/>
      <c r="N68" s="281"/>
    </row>
    <row r="69" spans="8:14" ht="14.25" customHeight="1">
      <c r="H69" s="281"/>
      <c r="I69" s="281"/>
      <c r="N69" s="281"/>
    </row>
    <row r="70" spans="8:14" ht="14.25" customHeight="1">
      <c r="H70" s="281"/>
      <c r="I70" s="281"/>
      <c r="N70" s="281"/>
    </row>
    <row r="71" spans="8:14" ht="14.25" customHeight="1">
      <c r="H71" s="281"/>
      <c r="I71" s="281"/>
      <c r="N71" s="281"/>
    </row>
    <row r="72" spans="8:14" ht="14.25" customHeight="1">
      <c r="H72" s="281"/>
      <c r="I72" s="281"/>
      <c r="N72" s="281"/>
    </row>
    <row r="73" spans="8:14" ht="14.25" customHeight="1">
      <c r="H73" s="281"/>
      <c r="I73" s="281"/>
      <c r="N73" s="281"/>
    </row>
    <row r="74" spans="8:14" ht="14.25" customHeight="1">
      <c r="H74" s="281"/>
      <c r="I74" s="281"/>
      <c r="N74" s="281"/>
    </row>
    <row r="75" spans="8:14" ht="14.25" customHeight="1">
      <c r="H75" s="281"/>
      <c r="I75" s="281"/>
      <c r="N75" s="281"/>
    </row>
    <row r="76" spans="8:14" ht="14.25" customHeight="1">
      <c r="H76" s="281"/>
      <c r="I76" s="281"/>
      <c r="N76" s="281"/>
    </row>
    <row r="77" spans="8:14" ht="14.25" customHeight="1">
      <c r="H77" s="281"/>
      <c r="I77" s="281"/>
      <c r="N77" s="281"/>
    </row>
    <row r="78" spans="8:14" ht="14.25" customHeight="1">
      <c r="H78" s="281"/>
      <c r="I78" s="281"/>
      <c r="N78" s="281"/>
    </row>
    <row r="79" spans="8:14" ht="14.25" customHeight="1">
      <c r="H79" s="281"/>
      <c r="I79" s="281"/>
      <c r="N79" s="281"/>
    </row>
    <row r="80" spans="8:14" ht="14.25" customHeight="1">
      <c r="H80" s="281"/>
      <c r="I80" s="281"/>
      <c r="N80" s="281"/>
    </row>
    <row r="81" spans="8:14" ht="14.25" customHeight="1">
      <c r="H81" s="281"/>
      <c r="I81" s="281"/>
      <c r="N81" s="281"/>
    </row>
    <row r="82" spans="8:14" ht="14.25" customHeight="1">
      <c r="H82" s="281"/>
      <c r="I82" s="281"/>
      <c r="N82" s="281"/>
    </row>
    <row r="83" spans="8:14" ht="14.25" customHeight="1">
      <c r="H83" s="281"/>
      <c r="I83" s="281"/>
      <c r="N83" s="281"/>
    </row>
    <row r="84" spans="8:14" ht="14.25" customHeight="1">
      <c r="H84" s="281"/>
      <c r="I84" s="281"/>
      <c r="N84" s="281"/>
    </row>
    <row r="85" spans="8:14" ht="14.25" customHeight="1">
      <c r="H85" s="281"/>
      <c r="I85" s="281"/>
      <c r="N85" s="281"/>
    </row>
    <row r="86" spans="8:14" ht="14.25" customHeight="1">
      <c r="H86" s="281"/>
      <c r="I86" s="281"/>
      <c r="N86" s="281"/>
    </row>
    <row r="87" spans="8:14" ht="14.25" customHeight="1">
      <c r="H87" s="281"/>
      <c r="I87" s="281"/>
      <c r="N87" s="281"/>
    </row>
    <row r="88" spans="8:14" ht="14.25" customHeight="1">
      <c r="H88" s="281"/>
      <c r="I88" s="281"/>
      <c r="N88" s="281"/>
    </row>
    <row r="89" spans="8:14" ht="14.25" customHeight="1">
      <c r="H89" s="281"/>
      <c r="I89" s="281"/>
      <c r="N89" s="281"/>
    </row>
    <row r="90" spans="8:14" ht="14.25" customHeight="1">
      <c r="H90" s="281"/>
      <c r="I90" s="281"/>
      <c r="N90" s="281"/>
    </row>
    <row r="91" spans="8:14" ht="14.25" customHeight="1">
      <c r="H91" s="281"/>
      <c r="I91" s="281"/>
      <c r="N91" s="281"/>
    </row>
    <row r="92" spans="8:14" ht="14.25" customHeight="1">
      <c r="H92" s="281"/>
      <c r="I92" s="281"/>
      <c r="N92" s="281"/>
    </row>
    <row r="93" spans="8:14" ht="14.25" customHeight="1">
      <c r="H93" s="281"/>
      <c r="I93" s="281"/>
      <c r="N93" s="281"/>
    </row>
    <row r="94" spans="8:14" ht="14.25" customHeight="1">
      <c r="H94" s="281"/>
      <c r="I94" s="281"/>
      <c r="N94" s="281"/>
    </row>
    <row r="95" spans="8:14" ht="14.25" customHeight="1">
      <c r="H95" s="281"/>
      <c r="I95" s="281"/>
      <c r="N95" s="281"/>
    </row>
    <row r="96" spans="8:14" ht="14.25" customHeight="1">
      <c r="H96" s="281"/>
      <c r="I96" s="281"/>
      <c r="N96" s="281"/>
    </row>
    <row r="97" spans="8:14" ht="14.25" customHeight="1">
      <c r="H97" s="281"/>
      <c r="I97" s="281"/>
      <c r="N97" s="281"/>
    </row>
    <row r="98" spans="8:14" ht="14.25" customHeight="1">
      <c r="H98" s="281"/>
      <c r="I98" s="281"/>
      <c r="N98" s="281"/>
    </row>
    <row r="99" spans="8:14" ht="14.25" customHeight="1">
      <c r="H99" s="281"/>
      <c r="I99" s="281"/>
      <c r="N99" s="281"/>
    </row>
    <row r="100" spans="8:14" ht="14.25" customHeight="1">
      <c r="H100" s="281"/>
      <c r="I100" s="281"/>
      <c r="N100" s="281"/>
    </row>
    <row r="101" spans="8:14" ht="14.25" customHeight="1">
      <c r="H101" s="281"/>
      <c r="I101" s="281"/>
      <c r="N101" s="281"/>
    </row>
    <row r="102" spans="8:14" ht="14.25" customHeight="1">
      <c r="H102" s="281"/>
      <c r="I102" s="281"/>
      <c r="N102" s="281"/>
    </row>
    <row r="103" spans="8:14" ht="14.25" customHeight="1">
      <c r="H103" s="281"/>
      <c r="I103" s="281"/>
      <c r="N103" s="281"/>
    </row>
    <row r="104" spans="8:14" ht="14.25" customHeight="1">
      <c r="H104" s="281"/>
      <c r="I104" s="281"/>
      <c r="N104" s="281"/>
    </row>
    <row r="105" spans="8:14" ht="14.25" customHeight="1">
      <c r="H105" s="281"/>
      <c r="I105" s="281"/>
      <c r="N105" s="281"/>
    </row>
    <row r="106" spans="8:14" ht="14.25" customHeight="1">
      <c r="H106" s="281"/>
      <c r="I106" s="281"/>
      <c r="N106" s="281"/>
    </row>
    <row r="107" spans="8:14" ht="14.25" customHeight="1">
      <c r="H107" s="281"/>
      <c r="I107" s="281"/>
      <c r="N107" s="281"/>
    </row>
    <row r="108" spans="8:14" ht="14.25" customHeight="1">
      <c r="H108" s="281"/>
      <c r="I108" s="281"/>
      <c r="N108" s="281"/>
    </row>
    <row r="109" spans="8:14" ht="14.25" customHeight="1">
      <c r="H109" s="281"/>
      <c r="I109" s="281"/>
      <c r="N109" s="281"/>
    </row>
    <row r="110" spans="8:14" ht="14.25" customHeight="1">
      <c r="H110" s="281"/>
      <c r="I110" s="281"/>
      <c r="N110" s="281"/>
    </row>
    <row r="111" spans="8:14" ht="14.25" customHeight="1">
      <c r="H111" s="281"/>
      <c r="I111" s="281"/>
      <c r="N111" s="281"/>
    </row>
    <row r="112" spans="8:14" ht="14.25" customHeight="1">
      <c r="H112" s="281"/>
      <c r="I112" s="281"/>
      <c r="N112" s="281"/>
    </row>
    <row r="113" spans="8:14" ht="14.25" customHeight="1">
      <c r="H113" s="281"/>
      <c r="I113" s="281"/>
      <c r="N113" s="281"/>
    </row>
    <row r="114" spans="8:14" ht="14.25" customHeight="1">
      <c r="H114" s="281"/>
      <c r="I114" s="281"/>
      <c r="N114" s="281"/>
    </row>
    <row r="115" spans="8:14" ht="14.25" customHeight="1">
      <c r="H115" s="281"/>
      <c r="I115" s="281"/>
      <c r="N115" s="281"/>
    </row>
    <row r="116" spans="8:14" ht="14.25" customHeight="1">
      <c r="H116" s="281"/>
      <c r="I116" s="281"/>
      <c r="N116" s="281"/>
    </row>
    <row r="117" spans="8:14" ht="14.25" customHeight="1">
      <c r="H117" s="281"/>
      <c r="I117" s="281"/>
      <c r="N117" s="281"/>
    </row>
    <row r="118" spans="8:14" ht="14.25" customHeight="1">
      <c r="H118" s="281"/>
      <c r="I118" s="281"/>
      <c r="N118" s="281"/>
    </row>
    <row r="119" spans="8:14" ht="14.25" customHeight="1">
      <c r="H119" s="281"/>
      <c r="I119" s="281"/>
      <c r="N119" s="281"/>
    </row>
    <row r="120" spans="8:14" ht="14.25" customHeight="1">
      <c r="H120" s="281"/>
      <c r="I120" s="281"/>
      <c r="N120" s="281"/>
    </row>
    <row r="121" spans="8:14" ht="14.25" customHeight="1">
      <c r="H121" s="281"/>
      <c r="I121" s="281"/>
      <c r="N121" s="281"/>
    </row>
    <row r="122" spans="8:14" ht="14.25" customHeight="1">
      <c r="H122" s="281"/>
      <c r="I122" s="281"/>
      <c r="N122" s="281"/>
    </row>
    <row r="123" spans="8:14" ht="14.25" customHeight="1">
      <c r="H123" s="281"/>
      <c r="I123" s="281"/>
      <c r="N123" s="281"/>
    </row>
    <row r="124" spans="8:14" ht="14.25" customHeight="1">
      <c r="H124" s="281"/>
      <c r="I124" s="281"/>
      <c r="N124" s="281"/>
    </row>
    <row r="125" spans="8:14" ht="14.25" customHeight="1">
      <c r="H125" s="281"/>
      <c r="I125" s="281"/>
      <c r="N125" s="281"/>
    </row>
    <row r="126" spans="8:14" ht="14.25" customHeight="1">
      <c r="H126" s="281"/>
      <c r="I126" s="281"/>
      <c r="N126" s="281"/>
    </row>
    <row r="127" spans="8:14" ht="14.25" customHeight="1">
      <c r="H127" s="281"/>
      <c r="I127" s="281"/>
      <c r="N127" s="281"/>
    </row>
    <row r="128" spans="8:14" ht="14.25" customHeight="1">
      <c r="H128" s="281"/>
      <c r="I128" s="281"/>
      <c r="N128" s="281"/>
    </row>
    <row r="129" spans="8:14" ht="14.25" customHeight="1">
      <c r="H129" s="281"/>
      <c r="I129" s="281"/>
      <c r="N129" s="281"/>
    </row>
    <row r="130" spans="8:14" ht="14.25" customHeight="1">
      <c r="H130" s="281"/>
      <c r="I130" s="281"/>
      <c r="N130" s="281"/>
    </row>
    <row r="131" spans="8:14" ht="14.25" customHeight="1">
      <c r="H131" s="281"/>
      <c r="I131" s="281"/>
      <c r="N131" s="281"/>
    </row>
    <row r="132" spans="8:14" ht="14.25" customHeight="1">
      <c r="H132" s="281"/>
      <c r="I132" s="281"/>
      <c r="N132" s="281"/>
    </row>
    <row r="133" spans="8:14" ht="14.25" customHeight="1">
      <c r="H133" s="281"/>
      <c r="I133" s="281"/>
      <c r="N133" s="281"/>
    </row>
    <row r="134" spans="8:14" ht="14.25" customHeight="1">
      <c r="H134" s="281"/>
      <c r="I134" s="281"/>
      <c r="N134" s="281"/>
    </row>
    <row r="135" spans="8:14" ht="14.25" customHeight="1">
      <c r="H135" s="281"/>
      <c r="I135" s="281"/>
      <c r="N135" s="281"/>
    </row>
    <row r="136" spans="8:14" ht="14.25" customHeight="1">
      <c r="H136" s="281"/>
      <c r="I136" s="281"/>
      <c r="N136" s="281"/>
    </row>
    <row r="137" spans="8:14" ht="14.25" customHeight="1">
      <c r="H137" s="281"/>
      <c r="I137" s="281"/>
      <c r="N137" s="281"/>
    </row>
    <row r="138" spans="8:14" ht="14.25" customHeight="1">
      <c r="H138" s="281"/>
      <c r="I138" s="281"/>
      <c r="N138" s="281"/>
    </row>
    <row r="139" spans="8:14" ht="14.25" customHeight="1">
      <c r="H139" s="281"/>
      <c r="I139" s="281"/>
      <c r="N139" s="281"/>
    </row>
    <row r="140" spans="8:14" ht="14.25" customHeight="1">
      <c r="H140" s="281"/>
      <c r="I140" s="281"/>
      <c r="N140" s="281"/>
    </row>
    <row r="141" spans="8:14" ht="14.25" customHeight="1">
      <c r="H141" s="281"/>
      <c r="I141" s="281"/>
      <c r="N141" s="281"/>
    </row>
    <row r="142" spans="8:14" ht="14.25" customHeight="1">
      <c r="H142" s="281"/>
      <c r="I142" s="281"/>
      <c r="N142" s="281"/>
    </row>
    <row r="143" spans="8:14" ht="14.25" customHeight="1">
      <c r="H143" s="281"/>
      <c r="I143" s="281"/>
      <c r="N143" s="281"/>
    </row>
    <row r="144" spans="8:14" ht="14.25" customHeight="1">
      <c r="H144" s="281"/>
      <c r="I144" s="281"/>
      <c r="N144" s="281"/>
    </row>
    <row r="145" spans="8:14" ht="14.25" customHeight="1">
      <c r="H145" s="281"/>
      <c r="I145" s="281"/>
      <c r="N145" s="281"/>
    </row>
    <row r="146" spans="8:14" ht="14.25" customHeight="1">
      <c r="H146" s="281"/>
      <c r="I146" s="281"/>
      <c r="N146" s="281"/>
    </row>
    <row r="147" spans="8:14" ht="14.25" customHeight="1">
      <c r="H147" s="281"/>
      <c r="I147" s="281"/>
      <c r="N147" s="281"/>
    </row>
    <row r="148" spans="8:14" ht="14.25" customHeight="1">
      <c r="H148" s="281"/>
      <c r="I148" s="281"/>
      <c r="N148" s="281"/>
    </row>
    <row r="149" spans="8:14" ht="14.25" customHeight="1">
      <c r="H149" s="281"/>
      <c r="I149" s="281"/>
      <c r="N149" s="281"/>
    </row>
    <row r="150" spans="8:14" ht="14.25" customHeight="1">
      <c r="H150" s="281"/>
      <c r="I150" s="281"/>
      <c r="N150" s="281"/>
    </row>
    <row r="151" spans="8:14" ht="14.25" customHeight="1">
      <c r="H151" s="281"/>
      <c r="I151" s="281"/>
      <c r="N151" s="281"/>
    </row>
    <row r="152" spans="8:14" ht="14.25" customHeight="1">
      <c r="H152" s="281"/>
      <c r="I152" s="281"/>
      <c r="N152" s="281"/>
    </row>
    <row r="153" spans="8:14" ht="14.25" customHeight="1">
      <c r="H153" s="281"/>
      <c r="I153" s="281"/>
      <c r="N153" s="281"/>
    </row>
    <row r="154" spans="8:14" ht="14.25" customHeight="1">
      <c r="H154" s="281"/>
      <c r="I154" s="281"/>
      <c r="N154" s="281"/>
    </row>
    <row r="155" spans="8:14" ht="14.25" customHeight="1">
      <c r="H155" s="281"/>
      <c r="I155" s="281"/>
      <c r="N155" s="281"/>
    </row>
    <row r="156" spans="8:14" ht="14.25" customHeight="1">
      <c r="H156" s="281"/>
      <c r="I156" s="281"/>
      <c r="N156" s="281"/>
    </row>
    <row r="157" spans="8:14" ht="14.25" customHeight="1">
      <c r="H157" s="281"/>
      <c r="I157" s="281"/>
      <c r="N157" s="281"/>
    </row>
    <row r="158" spans="8:14" ht="14.25" customHeight="1">
      <c r="H158" s="281"/>
      <c r="I158" s="281"/>
      <c r="N158" s="281"/>
    </row>
    <row r="159" spans="8:14" ht="14.25" customHeight="1">
      <c r="H159" s="281"/>
      <c r="I159" s="281"/>
      <c r="N159" s="281"/>
    </row>
    <row r="160" spans="8:14" ht="14.25" customHeight="1">
      <c r="H160" s="281"/>
      <c r="I160" s="281"/>
      <c r="N160" s="281"/>
    </row>
    <row r="161" spans="8:14" ht="14.25" customHeight="1">
      <c r="H161" s="281"/>
      <c r="I161" s="281"/>
      <c r="N161" s="281"/>
    </row>
    <row r="162" spans="8:14" ht="14.25" customHeight="1">
      <c r="H162" s="281"/>
      <c r="I162" s="281"/>
      <c r="N162" s="281"/>
    </row>
    <row r="163" spans="8:14" ht="14.25" customHeight="1">
      <c r="H163" s="281"/>
      <c r="I163" s="281"/>
      <c r="N163" s="281"/>
    </row>
    <row r="164" spans="8:14" ht="14.25" customHeight="1">
      <c r="H164" s="281"/>
      <c r="I164" s="281"/>
      <c r="N164" s="281"/>
    </row>
    <row r="165" spans="8:14" ht="14.25" customHeight="1">
      <c r="H165" s="281"/>
      <c r="I165" s="281"/>
      <c r="N165" s="281"/>
    </row>
    <row r="166" spans="8:14" ht="14.25" customHeight="1">
      <c r="H166" s="281"/>
      <c r="I166" s="281"/>
      <c r="N166" s="281"/>
    </row>
    <row r="167" spans="8:14" ht="14.25" customHeight="1">
      <c r="H167" s="281"/>
      <c r="I167" s="281"/>
      <c r="N167" s="281"/>
    </row>
    <row r="168" spans="8:14" ht="14.25" customHeight="1">
      <c r="H168" s="281"/>
      <c r="I168" s="281"/>
      <c r="N168" s="281"/>
    </row>
    <row r="169" spans="8:14" ht="14.25" customHeight="1">
      <c r="H169" s="281"/>
      <c r="I169" s="281"/>
      <c r="N169" s="281"/>
    </row>
    <row r="170" spans="8:14" ht="14.25" customHeight="1">
      <c r="H170" s="281"/>
      <c r="I170" s="281"/>
      <c r="N170" s="281"/>
    </row>
    <row r="171" spans="8:14" ht="14.25" customHeight="1">
      <c r="H171" s="281"/>
      <c r="I171" s="281"/>
      <c r="N171" s="281"/>
    </row>
    <row r="172" spans="8:14" ht="14.25" customHeight="1">
      <c r="H172" s="281"/>
      <c r="I172" s="281"/>
      <c r="N172" s="281"/>
    </row>
    <row r="173" spans="8:14" ht="14.25" customHeight="1">
      <c r="H173" s="281"/>
      <c r="I173" s="281"/>
      <c r="N173" s="281"/>
    </row>
    <row r="174" spans="8:14" ht="14.25" customHeight="1">
      <c r="H174" s="281"/>
      <c r="I174" s="281"/>
      <c r="N174" s="281"/>
    </row>
    <row r="175" spans="8:14" ht="14.25" customHeight="1">
      <c r="H175" s="281"/>
      <c r="I175" s="281"/>
      <c r="N175" s="281"/>
    </row>
    <row r="176" spans="8:14" ht="14.25" customHeight="1">
      <c r="H176" s="281"/>
      <c r="I176" s="281"/>
      <c r="N176" s="281"/>
    </row>
    <row r="177" spans="8:14" ht="14.25" customHeight="1">
      <c r="H177" s="281"/>
      <c r="I177" s="281"/>
      <c r="N177" s="281"/>
    </row>
    <row r="178" spans="8:14" ht="14.25" customHeight="1">
      <c r="H178" s="281"/>
      <c r="I178" s="281"/>
      <c r="N178" s="281"/>
    </row>
    <row r="179" spans="8:14" ht="14.25" customHeight="1">
      <c r="H179" s="281"/>
      <c r="I179" s="281"/>
      <c r="N179" s="281"/>
    </row>
    <row r="180" spans="8:14" ht="14.25" customHeight="1">
      <c r="H180" s="281"/>
      <c r="I180" s="281"/>
      <c r="N180" s="281"/>
    </row>
    <row r="181" spans="8:14" ht="14.25" customHeight="1">
      <c r="H181" s="281"/>
      <c r="I181" s="281"/>
      <c r="N181" s="281"/>
    </row>
    <row r="182" spans="8:14" ht="14.25" customHeight="1">
      <c r="H182" s="281"/>
      <c r="I182" s="281"/>
      <c r="N182" s="281"/>
    </row>
    <row r="183" spans="8:14" ht="14.25" customHeight="1">
      <c r="H183" s="281"/>
      <c r="I183" s="281"/>
      <c r="N183" s="281"/>
    </row>
    <row r="184" spans="8:14" ht="14.25" customHeight="1">
      <c r="H184" s="281"/>
      <c r="I184" s="281"/>
      <c r="N184" s="281"/>
    </row>
    <row r="185" spans="8:14" ht="14.25" customHeight="1">
      <c r="H185" s="281"/>
      <c r="I185" s="281"/>
      <c r="N185" s="281"/>
    </row>
    <row r="186" spans="8:14" ht="14.25" customHeight="1">
      <c r="H186" s="281"/>
      <c r="I186" s="281"/>
      <c r="N186" s="281"/>
    </row>
    <row r="187" spans="8:14" ht="14.25" customHeight="1">
      <c r="H187" s="281"/>
      <c r="I187" s="281"/>
      <c r="N187" s="281"/>
    </row>
    <row r="188" spans="8:14" ht="14.25" customHeight="1">
      <c r="H188" s="281"/>
      <c r="I188" s="281"/>
      <c r="N188" s="281"/>
    </row>
    <row r="189" spans="8:14" ht="14.25" customHeight="1">
      <c r="H189" s="281"/>
      <c r="I189" s="281"/>
      <c r="N189" s="281"/>
    </row>
    <row r="190" spans="8:14" ht="14.25" customHeight="1">
      <c r="H190" s="281"/>
      <c r="I190" s="281"/>
      <c r="N190" s="281"/>
    </row>
    <row r="191" spans="8:14" ht="14.25" customHeight="1">
      <c r="H191" s="281"/>
      <c r="I191" s="281"/>
      <c r="N191" s="281"/>
    </row>
    <row r="192" spans="8:14" ht="14.25" customHeight="1">
      <c r="H192" s="281"/>
      <c r="I192" s="281"/>
      <c r="N192" s="281"/>
    </row>
    <row r="193" spans="8:14" ht="14.25" customHeight="1">
      <c r="H193" s="281"/>
      <c r="I193" s="281"/>
      <c r="N193" s="281"/>
    </row>
    <row r="194" spans="8:14" ht="14.25" customHeight="1">
      <c r="H194" s="281"/>
      <c r="I194" s="281"/>
      <c r="N194" s="281"/>
    </row>
    <row r="195" spans="8:14" ht="14.25" customHeight="1">
      <c r="H195" s="281"/>
      <c r="I195" s="281"/>
      <c r="N195" s="281"/>
    </row>
    <row r="196" spans="8:14" ht="14.25" customHeight="1">
      <c r="H196" s="281"/>
      <c r="I196" s="281"/>
      <c r="N196" s="281"/>
    </row>
    <row r="197" spans="8:14" ht="14.25" customHeight="1">
      <c r="H197" s="281"/>
      <c r="I197" s="281"/>
      <c r="N197" s="281"/>
    </row>
    <row r="198" spans="8:14" ht="14.25" customHeight="1">
      <c r="H198" s="281"/>
      <c r="I198" s="281"/>
      <c r="N198" s="281"/>
    </row>
    <row r="199" spans="8:14" ht="14.25" customHeight="1">
      <c r="H199" s="281"/>
      <c r="I199" s="281"/>
      <c r="N199" s="281"/>
    </row>
    <row r="200" spans="8:14" ht="14.25" customHeight="1">
      <c r="H200" s="281"/>
      <c r="I200" s="281"/>
      <c r="N200" s="281"/>
    </row>
    <row r="201" spans="8:14" ht="14.25" customHeight="1">
      <c r="H201" s="281"/>
      <c r="I201" s="281"/>
      <c r="N201" s="281"/>
    </row>
    <row r="202" spans="8:14" ht="14.25" customHeight="1">
      <c r="H202" s="281"/>
      <c r="I202" s="281"/>
      <c r="N202" s="281"/>
    </row>
    <row r="203" spans="8:14" ht="14.25" customHeight="1">
      <c r="H203" s="281"/>
      <c r="I203" s="281"/>
      <c r="N203" s="281"/>
    </row>
    <row r="204" spans="8:14" ht="14.25" customHeight="1">
      <c r="H204" s="281"/>
      <c r="I204" s="281"/>
      <c r="N204" s="281"/>
    </row>
    <row r="205" spans="8:14" ht="14.25" customHeight="1">
      <c r="H205" s="281"/>
      <c r="I205" s="281"/>
      <c r="N205" s="281"/>
    </row>
    <row r="206" spans="8:14" ht="14.25" customHeight="1">
      <c r="H206" s="281"/>
      <c r="I206" s="281"/>
      <c r="N206" s="281"/>
    </row>
    <row r="207" spans="8:14" ht="14.25" customHeight="1">
      <c r="H207" s="281"/>
      <c r="I207" s="281"/>
      <c r="N207" s="281"/>
    </row>
    <row r="208" spans="8:14" ht="14.25" customHeight="1">
      <c r="H208" s="281"/>
      <c r="I208" s="281"/>
      <c r="N208" s="281"/>
    </row>
    <row r="209" spans="8:14" ht="14.25" customHeight="1">
      <c r="H209" s="281"/>
      <c r="I209" s="281"/>
      <c r="N209" s="281"/>
    </row>
    <row r="210" spans="8:14" ht="14.25" customHeight="1">
      <c r="H210" s="281"/>
      <c r="I210" s="281"/>
      <c r="N210" s="281"/>
    </row>
    <row r="211" spans="8:14" ht="14.25" customHeight="1">
      <c r="H211" s="281"/>
      <c r="I211" s="281"/>
      <c r="N211" s="281"/>
    </row>
    <row r="212" spans="8:14" ht="14.25" customHeight="1">
      <c r="H212" s="281"/>
      <c r="I212" s="281"/>
      <c r="N212" s="281"/>
    </row>
    <row r="213" spans="8:14" ht="14.25" customHeight="1">
      <c r="H213" s="281"/>
      <c r="I213" s="281"/>
      <c r="N213" s="281"/>
    </row>
    <row r="214" spans="8:14" ht="14.25" customHeight="1">
      <c r="H214" s="281"/>
      <c r="I214" s="281"/>
      <c r="N214" s="281"/>
    </row>
    <row r="215" spans="8:14" ht="14.25" customHeight="1">
      <c r="H215" s="281"/>
      <c r="I215" s="281"/>
      <c r="N215" s="281"/>
    </row>
    <row r="216" spans="8:14" ht="14.25" customHeight="1">
      <c r="H216" s="281"/>
      <c r="I216" s="281"/>
      <c r="N216" s="281"/>
    </row>
    <row r="217" spans="8:14" ht="14.25" customHeight="1">
      <c r="H217" s="281"/>
      <c r="I217" s="281"/>
      <c r="N217" s="281"/>
    </row>
    <row r="218" spans="8:14" ht="14.25" customHeight="1">
      <c r="H218" s="281"/>
      <c r="I218" s="281"/>
      <c r="N218" s="281"/>
    </row>
    <row r="219" spans="8:14" ht="14.25" customHeight="1">
      <c r="H219" s="281"/>
      <c r="I219" s="281"/>
      <c r="N219" s="281"/>
    </row>
    <row r="220" spans="8:14" ht="14.25" customHeight="1">
      <c r="H220" s="281"/>
      <c r="I220" s="281"/>
      <c r="N220" s="281"/>
    </row>
    <row r="221" spans="8:14" ht="14.25" customHeight="1">
      <c r="H221" s="281"/>
      <c r="I221" s="281"/>
      <c r="N221" s="281"/>
    </row>
    <row r="222" spans="8:14" ht="14.25" customHeight="1">
      <c r="H222" s="281"/>
      <c r="I222" s="281"/>
      <c r="N222" s="281"/>
    </row>
    <row r="223" spans="8:14" ht="14.25" customHeight="1">
      <c r="H223" s="281"/>
      <c r="I223" s="281"/>
      <c r="N223" s="281"/>
    </row>
    <row r="224" spans="8:14" ht="14.25" customHeight="1">
      <c r="H224" s="281"/>
      <c r="I224" s="281"/>
      <c r="N224" s="281"/>
    </row>
    <row r="225" spans="8:14" ht="14.25" customHeight="1">
      <c r="H225" s="281"/>
      <c r="I225" s="281"/>
      <c r="N225" s="281"/>
    </row>
    <row r="226" spans="8:14" ht="14.25" customHeight="1">
      <c r="H226" s="281"/>
      <c r="I226" s="281"/>
      <c r="N226" s="281"/>
    </row>
    <row r="227" spans="8:14" ht="14.25" customHeight="1">
      <c r="H227" s="281"/>
      <c r="I227" s="281"/>
      <c r="N227" s="281"/>
    </row>
    <row r="228" spans="8:14" ht="14.25" customHeight="1">
      <c r="H228" s="281"/>
      <c r="I228" s="281"/>
      <c r="N228" s="281"/>
    </row>
    <row r="229" spans="8:14" ht="14.25" customHeight="1">
      <c r="H229" s="281"/>
      <c r="I229" s="281"/>
      <c r="N229" s="281"/>
    </row>
    <row r="230" spans="8:14" ht="14.25" customHeight="1">
      <c r="H230" s="281"/>
      <c r="I230" s="281"/>
      <c r="N230" s="281"/>
    </row>
    <row r="231" spans="8:14" ht="14.25" customHeight="1">
      <c r="H231" s="281"/>
      <c r="I231" s="281"/>
      <c r="N231" s="281"/>
    </row>
    <row r="232" spans="8:14" ht="14.25" customHeight="1">
      <c r="H232" s="281"/>
      <c r="I232" s="281"/>
      <c r="N232" s="281"/>
    </row>
    <row r="233" spans="8:14" ht="14.25" customHeight="1">
      <c r="H233" s="281"/>
      <c r="I233" s="281"/>
      <c r="N233" s="281"/>
    </row>
    <row r="234" spans="8:14" ht="14.25" customHeight="1">
      <c r="H234" s="281"/>
      <c r="I234" s="281"/>
      <c r="N234" s="281"/>
    </row>
    <row r="235" spans="8:14" ht="14.25" customHeight="1">
      <c r="H235" s="281"/>
      <c r="I235" s="281"/>
      <c r="N235" s="281"/>
    </row>
    <row r="236" spans="8:14" ht="14.25" customHeight="1">
      <c r="H236" s="281"/>
      <c r="I236" s="281"/>
      <c r="N236" s="281"/>
    </row>
    <row r="237" spans="8:14" ht="14.25" customHeight="1">
      <c r="H237" s="281"/>
      <c r="I237" s="281"/>
      <c r="N237" s="281"/>
    </row>
    <row r="238" spans="8:14" ht="14.25" customHeight="1">
      <c r="H238" s="281"/>
      <c r="I238" s="281"/>
      <c r="N238" s="281"/>
    </row>
    <row r="239" spans="8:14" ht="14.25" customHeight="1">
      <c r="H239" s="281"/>
      <c r="I239" s="281"/>
      <c r="N239" s="281"/>
    </row>
    <row r="240" spans="8:14" ht="14.25" customHeight="1">
      <c r="H240" s="281"/>
      <c r="I240" s="281"/>
      <c r="N240" s="281"/>
    </row>
    <row r="241" spans="8:14" ht="14.25" customHeight="1">
      <c r="H241" s="281"/>
      <c r="I241" s="281"/>
      <c r="N241" s="281"/>
    </row>
    <row r="242" spans="8:14" ht="14.25" customHeight="1">
      <c r="H242" s="281"/>
      <c r="I242" s="281"/>
      <c r="N242" s="281"/>
    </row>
    <row r="243" spans="8:14" ht="14.25" customHeight="1">
      <c r="H243" s="281"/>
      <c r="I243" s="281"/>
      <c r="N243" s="281"/>
    </row>
    <row r="244" spans="8:14" ht="14.25" customHeight="1">
      <c r="H244" s="281"/>
      <c r="I244" s="281"/>
      <c r="N244" s="281"/>
    </row>
    <row r="245" spans="8:14" ht="14.25" customHeight="1">
      <c r="H245" s="281"/>
      <c r="I245" s="281"/>
      <c r="N245" s="281"/>
    </row>
    <row r="246" spans="8:14" ht="14.25" customHeight="1">
      <c r="H246" s="281"/>
      <c r="I246" s="281"/>
      <c r="N246" s="281"/>
    </row>
    <row r="247" spans="8:14" ht="14.25" customHeight="1">
      <c r="H247" s="281"/>
      <c r="I247" s="281"/>
      <c r="N247" s="281"/>
    </row>
    <row r="248" spans="8:14" ht="14.25" customHeight="1">
      <c r="H248" s="281"/>
      <c r="I248" s="281"/>
      <c r="N248" s="281"/>
    </row>
    <row r="249" spans="8:14" ht="14.25" customHeight="1">
      <c r="H249" s="281"/>
      <c r="I249" s="281"/>
      <c r="N249" s="281"/>
    </row>
    <row r="250" spans="8:14" ht="14.25" customHeight="1">
      <c r="H250" s="281"/>
      <c r="I250" s="281"/>
      <c r="N250" s="281"/>
    </row>
    <row r="251" spans="8:14" ht="14.25" customHeight="1">
      <c r="H251" s="281"/>
      <c r="I251" s="281"/>
      <c r="N251" s="281"/>
    </row>
    <row r="252" spans="8:14" ht="14.25" customHeight="1">
      <c r="H252" s="281"/>
      <c r="I252" s="281"/>
      <c r="N252" s="281"/>
    </row>
    <row r="253" spans="8:14" ht="14.25" customHeight="1">
      <c r="H253" s="281"/>
      <c r="I253" s="281"/>
      <c r="N253" s="281"/>
    </row>
    <row r="254" spans="8:14" ht="14.25" customHeight="1">
      <c r="H254" s="281"/>
      <c r="I254" s="281"/>
      <c r="N254" s="281"/>
    </row>
    <row r="255" spans="8:14" ht="14.25" customHeight="1">
      <c r="H255" s="281"/>
      <c r="I255" s="281"/>
      <c r="N255" s="281"/>
    </row>
    <row r="256" spans="8:14" ht="14.25" customHeight="1">
      <c r="H256" s="281"/>
      <c r="I256" s="281"/>
      <c r="N256" s="281"/>
    </row>
    <row r="257" spans="8:14" ht="14.25" customHeight="1">
      <c r="H257" s="281"/>
      <c r="I257" s="281"/>
      <c r="N257" s="281"/>
    </row>
    <row r="258" spans="8:14" ht="14.25" customHeight="1">
      <c r="H258" s="281"/>
      <c r="I258" s="281"/>
      <c r="N258" s="281"/>
    </row>
    <row r="259" spans="8:14" ht="14.25" customHeight="1">
      <c r="H259" s="281"/>
      <c r="I259" s="281"/>
      <c r="N259" s="281"/>
    </row>
    <row r="260" spans="8:14" ht="14.25" customHeight="1">
      <c r="H260" s="281"/>
      <c r="I260" s="281"/>
      <c r="N260" s="281"/>
    </row>
    <row r="261" spans="8:14" ht="14.25" customHeight="1">
      <c r="H261" s="281"/>
      <c r="I261" s="281"/>
      <c r="N261" s="281"/>
    </row>
    <row r="262" spans="8:14" ht="14.25" customHeight="1">
      <c r="H262" s="281"/>
      <c r="I262" s="281"/>
      <c r="N262" s="281"/>
    </row>
    <row r="263" spans="8:14" ht="14.25" customHeight="1">
      <c r="H263" s="281"/>
      <c r="I263" s="281"/>
      <c r="N263" s="281"/>
    </row>
    <row r="264" spans="8:14" ht="14.25" customHeight="1">
      <c r="H264" s="281"/>
      <c r="I264" s="281"/>
      <c r="N264" s="281"/>
    </row>
    <row r="265" spans="8:14" ht="14.25" customHeight="1">
      <c r="H265" s="281"/>
      <c r="I265" s="281"/>
      <c r="N265" s="281"/>
    </row>
    <row r="266" spans="8:14" ht="14.25" customHeight="1">
      <c r="H266" s="281"/>
      <c r="I266" s="281"/>
      <c r="N266" s="281"/>
    </row>
    <row r="267" spans="8:14" ht="14.25" customHeight="1">
      <c r="H267" s="281"/>
      <c r="I267" s="281"/>
      <c r="N267" s="281"/>
    </row>
    <row r="268" spans="8:14" ht="14.25" customHeight="1">
      <c r="H268" s="281"/>
      <c r="I268" s="281"/>
      <c r="N268" s="281"/>
    </row>
    <row r="269" spans="8:14" ht="14.25" customHeight="1">
      <c r="H269" s="281"/>
      <c r="I269" s="281"/>
      <c r="N269" s="281"/>
    </row>
    <row r="270" spans="8:14" ht="14.25" customHeight="1">
      <c r="H270" s="281"/>
      <c r="I270" s="281"/>
      <c r="N270" s="281"/>
    </row>
    <row r="271" spans="8:14" ht="14.25" customHeight="1">
      <c r="H271" s="281"/>
      <c r="I271" s="281"/>
      <c r="N271" s="281"/>
    </row>
    <row r="272" spans="8:14" ht="14.25" customHeight="1">
      <c r="H272" s="281"/>
      <c r="I272" s="281"/>
      <c r="N272" s="281"/>
    </row>
    <row r="273" spans="8:14" ht="14.25" customHeight="1">
      <c r="H273" s="281"/>
      <c r="I273" s="281"/>
      <c r="N273" s="281"/>
    </row>
    <row r="274" spans="8:14" ht="14.25" customHeight="1">
      <c r="H274" s="281"/>
      <c r="I274" s="281"/>
      <c r="N274" s="281"/>
    </row>
    <row r="275" spans="8:14" ht="14.25" customHeight="1">
      <c r="H275" s="281"/>
      <c r="I275" s="281"/>
      <c r="N275" s="281"/>
    </row>
    <row r="276" spans="8:14" ht="14.25" customHeight="1">
      <c r="H276" s="281"/>
      <c r="I276" s="281"/>
      <c r="N276" s="281"/>
    </row>
    <row r="277" spans="8:14" ht="14.25" customHeight="1">
      <c r="H277" s="281"/>
      <c r="I277" s="281"/>
      <c r="N277" s="281"/>
    </row>
    <row r="278" spans="8:14" ht="14.25" customHeight="1">
      <c r="H278" s="281"/>
      <c r="I278" s="281"/>
      <c r="N278" s="281"/>
    </row>
    <row r="279" spans="8:14" ht="14.25" customHeight="1">
      <c r="H279" s="281"/>
      <c r="I279" s="281"/>
      <c r="N279" s="281"/>
    </row>
    <row r="280" spans="8:14" ht="14.25" customHeight="1">
      <c r="H280" s="281"/>
      <c r="I280" s="281"/>
      <c r="N280" s="281"/>
    </row>
    <row r="281" spans="8:14" ht="14.25" customHeight="1">
      <c r="H281" s="281"/>
      <c r="I281" s="281"/>
      <c r="N281" s="281"/>
    </row>
    <row r="282" spans="8:14" ht="14.25" customHeight="1">
      <c r="H282" s="281"/>
      <c r="I282" s="281"/>
      <c r="N282" s="281"/>
    </row>
    <row r="283" spans="8:14" ht="14.25" customHeight="1">
      <c r="H283" s="281"/>
      <c r="I283" s="281"/>
      <c r="N283" s="281"/>
    </row>
    <row r="284" spans="8:14" ht="14.25" customHeight="1">
      <c r="H284" s="281"/>
      <c r="I284" s="281"/>
      <c r="N284" s="281"/>
    </row>
    <row r="285" spans="8:14" ht="14.25" customHeight="1">
      <c r="H285" s="281"/>
      <c r="I285" s="281"/>
      <c r="N285" s="281"/>
    </row>
    <row r="286" spans="8:14" ht="14.25" customHeight="1">
      <c r="H286" s="281"/>
      <c r="I286" s="281"/>
      <c r="N286" s="281"/>
    </row>
    <row r="287" spans="8:14" ht="14.25" customHeight="1">
      <c r="H287" s="281"/>
      <c r="I287" s="281"/>
      <c r="N287" s="281"/>
    </row>
    <row r="288" spans="8:14" ht="14.25" customHeight="1">
      <c r="H288" s="281"/>
      <c r="I288" s="281"/>
      <c r="N288" s="281"/>
    </row>
    <row r="289" spans="8:14" ht="14.25" customHeight="1">
      <c r="H289" s="281"/>
      <c r="I289" s="281"/>
      <c r="N289" s="281"/>
    </row>
    <row r="290" spans="8:14" ht="14.25" customHeight="1">
      <c r="H290" s="281"/>
      <c r="I290" s="281"/>
      <c r="N290" s="281"/>
    </row>
    <row r="291" spans="8:14" ht="14.25" customHeight="1">
      <c r="H291" s="281"/>
      <c r="I291" s="281"/>
      <c r="N291" s="281"/>
    </row>
    <row r="292" spans="8:14" ht="14.25" customHeight="1">
      <c r="H292" s="281"/>
      <c r="I292" s="281"/>
      <c r="N292" s="281"/>
    </row>
    <row r="293" spans="8:14" ht="14.25" customHeight="1">
      <c r="H293" s="281"/>
      <c r="I293" s="281"/>
      <c r="N293" s="281"/>
    </row>
    <row r="294" spans="8:14" ht="14.25" customHeight="1">
      <c r="H294" s="281"/>
      <c r="I294" s="281"/>
      <c r="N294" s="281"/>
    </row>
    <row r="295" spans="8:14" ht="14.25" customHeight="1">
      <c r="H295" s="281"/>
      <c r="I295" s="281"/>
      <c r="N295" s="281"/>
    </row>
    <row r="296" spans="8:14" ht="14.25" customHeight="1">
      <c r="H296" s="281"/>
      <c r="I296" s="281"/>
      <c r="N296" s="281"/>
    </row>
    <row r="297" spans="8:14" ht="14.25" customHeight="1">
      <c r="H297" s="281"/>
      <c r="I297" s="281"/>
      <c r="N297" s="281"/>
    </row>
    <row r="298" spans="8:14" ht="14.25" customHeight="1">
      <c r="H298" s="281"/>
      <c r="I298" s="281"/>
      <c r="N298" s="281"/>
    </row>
    <row r="299" spans="8:14" ht="14.25" customHeight="1">
      <c r="H299" s="281"/>
      <c r="I299" s="281"/>
      <c r="N299" s="281"/>
    </row>
    <row r="300" spans="8:14" ht="14.25" customHeight="1">
      <c r="H300" s="281"/>
      <c r="I300" s="281"/>
      <c r="N300" s="281"/>
    </row>
    <row r="301" spans="8:14" ht="14.25" customHeight="1">
      <c r="H301" s="281"/>
      <c r="I301" s="281"/>
      <c r="N301" s="281"/>
    </row>
    <row r="302" spans="8:14" ht="14.25" customHeight="1">
      <c r="H302" s="281"/>
      <c r="I302" s="281"/>
      <c r="N302" s="281"/>
    </row>
    <row r="303" spans="8:14" ht="14.25" customHeight="1">
      <c r="H303" s="281"/>
      <c r="I303" s="281"/>
      <c r="N303" s="281"/>
    </row>
    <row r="304" spans="8:14" ht="14.25" customHeight="1">
      <c r="H304" s="281"/>
      <c r="I304" s="281"/>
      <c r="N304" s="281"/>
    </row>
    <row r="305" spans="8:14" ht="14.25" customHeight="1">
      <c r="H305" s="281"/>
      <c r="I305" s="281"/>
      <c r="N305" s="281"/>
    </row>
    <row r="306" spans="8:14" ht="14.25" customHeight="1">
      <c r="H306" s="281"/>
      <c r="I306" s="281"/>
      <c r="N306" s="281"/>
    </row>
    <row r="307" spans="8:14" ht="14.25" customHeight="1">
      <c r="H307" s="281"/>
      <c r="I307" s="281"/>
      <c r="N307" s="281"/>
    </row>
    <row r="308" spans="8:14" ht="14.25" customHeight="1">
      <c r="H308" s="281"/>
      <c r="I308" s="281"/>
      <c r="N308" s="281"/>
    </row>
    <row r="309" spans="8:14" ht="14.25" customHeight="1">
      <c r="H309" s="281"/>
      <c r="I309" s="281"/>
      <c r="N309" s="281"/>
    </row>
    <row r="310" spans="8:14" ht="14.25" customHeight="1">
      <c r="H310" s="281"/>
      <c r="I310" s="281"/>
      <c r="N310" s="281"/>
    </row>
    <row r="311" spans="8:14" ht="14.25" customHeight="1">
      <c r="H311" s="281"/>
      <c r="I311" s="281"/>
      <c r="N311" s="281"/>
    </row>
    <row r="312" spans="8:14" ht="14.25" customHeight="1">
      <c r="H312" s="281"/>
      <c r="I312" s="281"/>
      <c r="N312" s="281"/>
    </row>
    <row r="313" spans="8:14" ht="14.25" customHeight="1">
      <c r="H313" s="281"/>
      <c r="I313" s="281"/>
      <c r="N313" s="281"/>
    </row>
    <row r="314" spans="8:14" ht="14.25" customHeight="1">
      <c r="H314" s="281"/>
      <c r="I314" s="281"/>
      <c r="N314" s="281"/>
    </row>
    <row r="315" spans="8:14" ht="14.25" customHeight="1">
      <c r="H315" s="281"/>
      <c r="I315" s="281"/>
      <c r="N315" s="281"/>
    </row>
    <row r="316" spans="8:14" ht="14.25" customHeight="1">
      <c r="H316" s="281"/>
      <c r="I316" s="281"/>
      <c r="N316" s="281"/>
    </row>
    <row r="317" spans="8:14" ht="14.25" customHeight="1">
      <c r="H317" s="281"/>
      <c r="I317" s="281"/>
      <c r="N317" s="281"/>
    </row>
    <row r="318" spans="8:14" ht="14.25" customHeight="1">
      <c r="H318" s="281"/>
      <c r="I318" s="281"/>
      <c r="N318" s="281"/>
    </row>
    <row r="319" spans="8:14" ht="14.25" customHeight="1">
      <c r="H319" s="281"/>
      <c r="I319" s="281"/>
      <c r="N319" s="281"/>
    </row>
    <row r="320" spans="8:14" ht="14.25" customHeight="1">
      <c r="H320" s="281"/>
      <c r="I320" s="281"/>
      <c r="N320" s="281"/>
    </row>
    <row r="321" spans="8:14" ht="14.25" customHeight="1">
      <c r="H321" s="281"/>
      <c r="I321" s="281"/>
      <c r="N321" s="281"/>
    </row>
    <row r="322" spans="8:14" ht="14.25" customHeight="1">
      <c r="H322" s="281"/>
      <c r="I322" s="281"/>
      <c r="N322" s="281"/>
    </row>
    <row r="323" spans="8:14" ht="14.25" customHeight="1">
      <c r="H323" s="281"/>
      <c r="I323" s="281"/>
      <c r="N323" s="281"/>
    </row>
    <row r="324" spans="8:14" ht="14.25" customHeight="1">
      <c r="H324" s="281"/>
      <c r="I324" s="281"/>
      <c r="N324" s="281"/>
    </row>
    <row r="325" spans="8:14" ht="14.25" customHeight="1">
      <c r="H325" s="281"/>
      <c r="I325" s="281"/>
      <c r="N325" s="281"/>
    </row>
    <row r="326" spans="8:14" ht="14.25" customHeight="1">
      <c r="H326" s="281"/>
      <c r="I326" s="281"/>
      <c r="N326" s="281"/>
    </row>
    <row r="327" spans="8:14" ht="14.25" customHeight="1">
      <c r="H327" s="281"/>
      <c r="I327" s="281"/>
      <c r="N327" s="281"/>
    </row>
    <row r="328" spans="8:14" ht="14.25" customHeight="1">
      <c r="H328" s="281"/>
      <c r="I328" s="281"/>
      <c r="N328" s="281"/>
    </row>
    <row r="329" spans="8:14" ht="14.25" customHeight="1">
      <c r="H329" s="281"/>
      <c r="I329" s="281"/>
      <c r="N329" s="281"/>
    </row>
    <row r="330" spans="8:14" ht="14.25" customHeight="1">
      <c r="H330" s="281"/>
      <c r="I330" s="281"/>
      <c r="N330" s="281"/>
    </row>
    <row r="331" spans="8:14" ht="14.25" customHeight="1">
      <c r="H331" s="281"/>
      <c r="I331" s="281"/>
      <c r="N331" s="281"/>
    </row>
    <row r="332" spans="8:14" ht="14.25" customHeight="1">
      <c r="H332" s="281"/>
      <c r="I332" s="281"/>
      <c r="N332" s="281"/>
    </row>
    <row r="333" spans="8:14" ht="14.25" customHeight="1">
      <c r="H333" s="281"/>
      <c r="I333" s="281"/>
      <c r="N333" s="281"/>
    </row>
    <row r="334" spans="8:14" ht="14.25" customHeight="1">
      <c r="H334" s="281"/>
      <c r="I334" s="281"/>
      <c r="N334" s="281"/>
    </row>
    <row r="335" spans="8:14" ht="14.25" customHeight="1">
      <c r="H335" s="281"/>
      <c r="I335" s="281"/>
      <c r="N335" s="281"/>
    </row>
    <row r="336" spans="8:14" ht="14.25" customHeight="1">
      <c r="H336" s="281"/>
      <c r="I336" s="281"/>
      <c r="N336" s="281"/>
    </row>
    <row r="337" spans="8:14" ht="14.25" customHeight="1">
      <c r="H337" s="281"/>
      <c r="I337" s="281"/>
      <c r="N337" s="281"/>
    </row>
    <row r="338" spans="8:14" ht="14.25" customHeight="1">
      <c r="H338" s="281"/>
      <c r="I338" s="281"/>
      <c r="N338" s="281"/>
    </row>
    <row r="339" spans="8:14" ht="14.25" customHeight="1">
      <c r="H339" s="281"/>
      <c r="I339" s="281"/>
      <c r="N339" s="281"/>
    </row>
    <row r="340" spans="8:14" ht="14.25" customHeight="1">
      <c r="H340" s="281"/>
      <c r="I340" s="281"/>
      <c r="N340" s="281"/>
    </row>
    <row r="341" spans="8:14" ht="14.25" customHeight="1">
      <c r="H341" s="281"/>
      <c r="I341" s="281"/>
      <c r="N341" s="281"/>
    </row>
    <row r="342" spans="8:14" ht="14.25" customHeight="1">
      <c r="H342" s="281"/>
      <c r="I342" s="281"/>
      <c r="N342" s="281"/>
    </row>
    <row r="343" spans="8:14" ht="14.25" customHeight="1">
      <c r="H343" s="281"/>
      <c r="I343" s="281"/>
      <c r="N343" s="281"/>
    </row>
    <row r="344" spans="8:14" ht="14.25" customHeight="1">
      <c r="H344" s="281"/>
      <c r="I344" s="281"/>
      <c r="N344" s="281"/>
    </row>
    <row r="345" spans="8:14" ht="14.25" customHeight="1">
      <c r="H345" s="281"/>
      <c r="I345" s="281"/>
      <c r="N345" s="281"/>
    </row>
    <row r="346" spans="8:14" ht="14.25" customHeight="1">
      <c r="H346" s="281"/>
      <c r="I346" s="281"/>
      <c r="N346" s="281"/>
    </row>
    <row r="347" spans="8:14" ht="14.25" customHeight="1">
      <c r="H347" s="281"/>
      <c r="I347" s="281"/>
      <c r="N347" s="281"/>
    </row>
    <row r="348" spans="8:14" ht="14.25" customHeight="1">
      <c r="H348" s="281"/>
      <c r="I348" s="281"/>
      <c r="N348" s="281"/>
    </row>
    <row r="349" spans="8:14" ht="14.25" customHeight="1">
      <c r="H349" s="281"/>
      <c r="I349" s="281"/>
      <c r="N349" s="281"/>
    </row>
    <row r="350" spans="8:14" ht="14.25" customHeight="1">
      <c r="H350" s="281"/>
      <c r="I350" s="281"/>
      <c r="N350" s="281"/>
    </row>
    <row r="351" spans="8:14" ht="14.25" customHeight="1">
      <c r="H351" s="281"/>
      <c r="I351" s="281"/>
      <c r="N351" s="281"/>
    </row>
    <row r="352" spans="8:14" ht="14.25" customHeight="1">
      <c r="H352" s="281"/>
      <c r="I352" s="281"/>
      <c r="N352" s="281"/>
    </row>
    <row r="353" spans="8:14" ht="14.25" customHeight="1">
      <c r="H353" s="281"/>
      <c r="I353" s="281"/>
      <c r="N353" s="281"/>
    </row>
    <row r="354" spans="8:14" ht="14.25" customHeight="1">
      <c r="H354" s="281"/>
      <c r="I354" s="281"/>
      <c r="N354" s="281"/>
    </row>
    <row r="355" spans="8:14" ht="14.25" customHeight="1">
      <c r="H355" s="281"/>
      <c r="I355" s="281"/>
      <c r="N355" s="281"/>
    </row>
    <row r="356" spans="8:14" ht="14.25" customHeight="1">
      <c r="H356" s="281"/>
      <c r="I356" s="281"/>
      <c r="N356" s="281"/>
    </row>
    <row r="357" spans="8:14" ht="14.25" customHeight="1">
      <c r="H357" s="281"/>
      <c r="I357" s="281"/>
      <c r="N357" s="281"/>
    </row>
    <row r="358" spans="8:14" ht="14.25" customHeight="1">
      <c r="H358" s="281"/>
      <c r="I358" s="281"/>
      <c r="N358" s="281"/>
    </row>
    <row r="359" spans="8:14" ht="14.25" customHeight="1">
      <c r="H359" s="281"/>
      <c r="I359" s="281"/>
      <c r="N359" s="281"/>
    </row>
    <row r="360" spans="8:14" ht="14.25" customHeight="1">
      <c r="H360" s="281"/>
      <c r="I360" s="281"/>
      <c r="N360" s="281"/>
    </row>
    <row r="361" spans="8:14" ht="14.25" customHeight="1">
      <c r="H361" s="281"/>
      <c r="I361" s="281"/>
      <c r="N361" s="281"/>
    </row>
    <row r="362" spans="8:14" ht="14.25" customHeight="1">
      <c r="H362" s="281"/>
      <c r="I362" s="281"/>
      <c r="N362" s="281"/>
    </row>
    <row r="363" spans="8:14" ht="14.25" customHeight="1">
      <c r="H363" s="281"/>
      <c r="I363" s="281"/>
      <c r="N363" s="281"/>
    </row>
    <row r="364" spans="8:14" ht="14.25" customHeight="1">
      <c r="H364" s="281"/>
      <c r="I364" s="281"/>
      <c r="N364" s="281"/>
    </row>
    <row r="365" spans="8:14" ht="14.25" customHeight="1">
      <c r="H365" s="281"/>
      <c r="I365" s="281"/>
      <c r="N365" s="281"/>
    </row>
    <row r="366" spans="8:14" ht="14.25" customHeight="1">
      <c r="H366" s="281"/>
      <c r="I366" s="281"/>
      <c r="N366" s="281"/>
    </row>
    <row r="367" spans="8:14" ht="14.25" customHeight="1">
      <c r="H367" s="281"/>
      <c r="I367" s="281"/>
      <c r="N367" s="281"/>
    </row>
    <row r="368" spans="8:14" ht="14.25" customHeight="1">
      <c r="H368" s="281"/>
      <c r="I368" s="281"/>
      <c r="N368" s="281"/>
    </row>
    <row r="369" spans="8:14" ht="14.25" customHeight="1">
      <c r="H369" s="281"/>
      <c r="I369" s="281"/>
      <c r="N369" s="281"/>
    </row>
    <row r="370" spans="8:14" ht="14.25" customHeight="1">
      <c r="H370" s="281"/>
      <c r="I370" s="281"/>
      <c r="N370" s="281"/>
    </row>
    <row r="371" spans="8:14" ht="14.25" customHeight="1">
      <c r="H371" s="281"/>
      <c r="I371" s="281"/>
      <c r="N371" s="281"/>
    </row>
    <row r="372" spans="8:14" ht="14.25" customHeight="1">
      <c r="H372" s="281"/>
      <c r="I372" s="281"/>
      <c r="N372" s="281"/>
    </row>
    <row r="373" spans="8:14" ht="14.25" customHeight="1">
      <c r="H373" s="281"/>
      <c r="I373" s="281"/>
      <c r="N373" s="281"/>
    </row>
    <row r="374" spans="8:14" ht="14.25" customHeight="1">
      <c r="H374" s="281"/>
      <c r="I374" s="281"/>
      <c r="N374" s="281"/>
    </row>
    <row r="375" spans="8:14" ht="14.25" customHeight="1">
      <c r="H375" s="281"/>
      <c r="I375" s="281"/>
      <c r="N375" s="281"/>
    </row>
    <row r="376" spans="8:14" ht="14.25" customHeight="1">
      <c r="H376" s="281"/>
      <c r="I376" s="281"/>
      <c r="N376" s="281"/>
    </row>
    <row r="377" spans="8:14" ht="14.25" customHeight="1">
      <c r="H377" s="281"/>
      <c r="I377" s="281"/>
      <c r="N377" s="281"/>
    </row>
    <row r="378" spans="8:14" ht="14.25" customHeight="1">
      <c r="H378" s="281"/>
      <c r="I378" s="281"/>
      <c r="N378" s="281"/>
    </row>
    <row r="379" spans="8:14" ht="14.25" customHeight="1">
      <c r="H379" s="281"/>
      <c r="I379" s="281"/>
      <c r="N379" s="281"/>
    </row>
    <row r="380" spans="8:14" ht="14.25" customHeight="1">
      <c r="H380" s="281"/>
      <c r="I380" s="281"/>
      <c r="N380" s="281"/>
    </row>
    <row r="381" spans="8:14" ht="14.25" customHeight="1">
      <c r="H381" s="281"/>
      <c r="I381" s="281"/>
      <c r="N381" s="281"/>
    </row>
    <row r="382" spans="8:14" ht="14.25" customHeight="1">
      <c r="H382" s="281"/>
      <c r="I382" s="281"/>
      <c r="N382" s="281"/>
    </row>
    <row r="383" spans="8:14" ht="14.25" customHeight="1">
      <c r="H383" s="281"/>
      <c r="I383" s="281"/>
      <c r="N383" s="281"/>
    </row>
    <row r="384" spans="8:14" ht="14.25" customHeight="1">
      <c r="H384" s="281"/>
      <c r="I384" s="281"/>
      <c r="N384" s="281"/>
    </row>
    <row r="385" spans="8:14" ht="14.25" customHeight="1">
      <c r="H385" s="281"/>
      <c r="I385" s="281"/>
      <c r="N385" s="281"/>
    </row>
    <row r="386" spans="8:14" ht="14.25" customHeight="1">
      <c r="H386" s="281"/>
      <c r="I386" s="281"/>
      <c r="N386" s="281"/>
    </row>
    <row r="387" spans="8:14" ht="14.25" customHeight="1">
      <c r="H387" s="281"/>
      <c r="I387" s="281"/>
      <c r="N387" s="281"/>
    </row>
    <row r="388" spans="8:14" ht="14.25" customHeight="1">
      <c r="H388" s="281"/>
      <c r="I388" s="281"/>
      <c r="N388" s="281"/>
    </row>
    <row r="389" spans="8:14" ht="14.25" customHeight="1">
      <c r="H389" s="281"/>
      <c r="I389" s="281"/>
      <c r="N389" s="281"/>
    </row>
    <row r="390" spans="8:14" ht="14.25" customHeight="1">
      <c r="H390" s="281"/>
      <c r="I390" s="281"/>
      <c r="N390" s="281"/>
    </row>
    <row r="391" spans="8:14" ht="14.25" customHeight="1">
      <c r="H391" s="281"/>
      <c r="I391" s="281"/>
      <c r="N391" s="281"/>
    </row>
    <row r="392" spans="8:14" ht="14.25" customHeight="1">
      <c r="H392" s="281"/>
      <c r="I392" s="281"/>
      <c r="N392" s="281"/>
    </row>
    <row r="393" spans="8:14" ht="14.25" customHeight="1">
      <c r="H393" s="281"/>
      <c r="I393" s="281"/>
      <c r="N393" s="281"/>
    </row>
    <row r="394" spans="8:14" ht="14.25" customHeight="1">
      <c r="H394" s="281"/>
      <c r="I394" s="281"/>
      <c r="N394" s="281"/>
    </row>
    <row r="395" spans="8:14" ht="14.25" customHeight="1">
      <c r="H395" s="281"/>
      <c r="I395" s="281"/>
      <c r="N395" s="281"/>
    </row>
    <row r="396" spans="8:14" ht="14.25" customHeight="1">
      <c r="H396" s="281"/>
      <c r="I396" s="281"/>
      <c r="N396" s="281"/>
    </row>
    <row r="397" spans="8:14" ht="14.25" customHeight="1">
      <c r="H397" s="281"/>
      <c r="I397" s="281"/>
      <c r="N397" s="281"/>
    </row>
    <row r="398" spans="8:14" ht="14.25" customHeight="1">
      <c r="H398" s="281"/>
      <c r="I398" s="281"/>
      <c r="N398" s="281"/>
    </row>
    <row r="399" spans="8:14" ht="14.25" customHeight="1">
      <c r="H399" s="281"/>
      <c r="I399" s="281"/>
      <c r="N399" s="281"/>
    </row>
    <row r="400" spans="8:14" ht="14.25" customHeight="1">
      <c r="H400" s="281"/>
      <c r="I400" s="281"/>
      <c r="N400" s="281"/>
    </row>
    <row r="401" spans="8:14" ht="14.25" customHeight="1">
      <c r="H401" s="281"/>
      <c r="I401" s="281"/>
      <c r="N401" s="281"/>
    </row>
    <row r="402" spans="8:14" ht="14.25" customHeight="1">
      <c r="H402" s="281"/>
      <c r="I402" s="281"/>
      <c r="N402" s="281"/>
    </row>
    <row r="403" spans="8:14" ht="14.25" customHeight="1">
      <c r="H403" s="281"/>
      <c r="I403" s="281"/>
      <c r="N403" s="281"/>
    </row>
    <row r="404" spans="8:14" ht="14.25" customHeight="1">
      <c r="H404" s="281"/>
      <c r="I404" s="281"/>
      <c r="N404" s="281"/>
    </row>
    <row r="405" spans="8:14" ht="14.25" customHeight="1">
      <c r="H405" s="281"/>
      <c r="I405" s="281"/>
      <c r="N405" s="281"/>
    </row>
    <row r="406" spans="8:14" ht="14.25" customHeight="1">
      <c r="H406" s="281"/>
      <c r="I406" s="281"/>
      <c r="N406" s="281"/>
    </row>
    <row r="407" spans="8:14" ht="14.25" customHeight="1">
      <c r="H407" s="281"/>
      <c r="I407" s="281"/>
      <c r="N407" s="281"/>
    </row>
    <row r="408" spans="8:14" ht="14.25" customHeight="1">
      <c r="H408" s="281"/>
      <c r="I408" s="281"/>
      <c r="N408" s="281"/>
    </row>
    <row r="409" spans="8:14" ht="14.25" customHeight="1">
      <c r="H409" s="281"/>
      <c r="I409" s="281"/>
      <c r="N409" s="281"/>
    </row>
    <row r="410" spans="8:14" ht="14.25" customHeight="1">
      <c r="H410" s="281"/>
      <c r="I410" s="281"/>
      <c r="N410" s="281"/>
    </row>
    <row r="411" spans="8:14" ht="14.25" customHeight="1">
      <c r="H411" s="281"/>
      <c r="I411" s="281"/>
      <c r="N411" s="281"/>
    </row>
    <row r="412" spans="8:14" ht="14.25" customHeight="1">
      <c r="H412" s="281"/>
      <c r="I412" s="281"/>
      <c r="N412" s="281"/>
    </row>
    <row r="413" spans="8:14" ht="14.25" customHeight="1">
      <c r="H413" s="281"/>
      <c r="I413" s="281"/>
      <c r="N413" s="281"/>
    </row>
    <row r="414" spans="8:14" ht="14.25" customHeight="1">
      <c r="H414" s="281"/>
      <c r="I414" s="281"/>
      <c r="N414" s="281"/>
    </row>
    <row r="415" spans="8:14" ht="14.25" customHeight="1">
      <c r="H415" s="281"/>
      <c r="I415" s="281"/>
      <c r="N415" s="281"/>
    </row>
    <row r="416" spans="8:14" ht="14.25" customHeight="1">
      <c r="H416" s="281"/>
      <c r="I416" s="281"/>
      <c r="N416" s="281"/>
    </row>
    <row r="417" spans="8:14" ht="14.25" customHeight="1">
      <c r="H417" s="281"/>
      <c r="I417" s="281"/>
      <c r="N417" s="281"/>
    </row>
    <row r="418" spans="8:14" ht="14.25" customHeight="1">
      <c r="H418" s="281"/>
      <c r="I418" s="281"/>
      <c r="N418" s="281"/>
    </row>
    <row r="419" spans="8:14" ht="14.25" customHeight="1">
      <c r="H419" s="281"/>
      <c r="I419" s="281"/>
      <c r="N419" s="281"/>
    </row>
    <row r="420" spans="8:14" ht="14.25" customHeight="1">
      <c r="H420" s="281"/>
      <c r="I420" s="281"/>
      <c r="N420" s="281"/>
    </row>
    <row r="421" spans="8:14" ht="14.25" customHeight="1">
      <c r="H421" s="281"/>
      <c r="I421" s="281"/>
      <c r="N421" s="281"/>
    </row>
    <row r="422" spans="8:14" ht="14.25" customHeight="1">
      <c r="H422" s="281"/>
      <c r="I422" s="281"/>
      <c r="N422" s="281"/>
    </row>
    <row r="423" spans="8:14" ht="14.25" customHeight="1">
      <c r="H423" s="281"/>
      <c r="I423" s="281"/>
      <c r="N423" s="281"/>
    </row>
    <row r="424" spans="8:14" ht="14.25" customHeight="1">
      <c r="H424" s="281"/>
      <c r="I424" s="281"/>
      <c r="N424" s="281"/>
    </row>
    <row r="425" spans="8:14" ht="14.25" customHeight="1">
      <c r="H425" s="281"/>
      <c r="I425" s="281"/>
      <c r="N425" s="281"/>
    </row>
    <row r="426" spans="8:14" ht="14.25" customHeight="1">
      <c r="H426" s="281"/>
      <c r="I426" s="281"/>
      <c r="N426" s="281"/>
    </row>
    <row r="427" spans="8:14" ht="14.25" customHeight="1">
      <c r="H427" s="281"/>
      <c r="I427" s="281"/>
      <c r="N427" s="281"/>
    </row>
    <row r="428" spans="8:14" ht="14.25" customHeight="1">
      <c r="H428" s="281"/>
      <c r="I428" s="281"/>
      <c r="N428" s="281"/>
    </row>
    <row r="429" spans="8:14" ht="14.25" customHeight="1">
      <c r="H429" s="281"/>
      <c r="I429" s="281"/>
      <c r="N429" s="281"/>
    </row>
    <row r="430" spans="8:14" ht="14.25" customHeight="1">
      <c r="H430" s="281"/>
      <c r="I430" s="281"/>
      <c r="N430" s="281"/>
    </row>
    <row r="431" spans="8:14" ht="14.25" customHeight="1">
      <c r="H431" s="281"/>
      <c r="I431" s="281"/>
      <c r="N431" s="281"/>
    </row>
    <row r="432" spans="8:14" ht="14.25" customHeight="1">
      <c r="H432" s="281"/>
      <c r="I432" s="281"/>
      <c r="N432" s="281"/>
    </row>
    <row r="433" spans="8:14" ht="14.25" customHeight="1">
      <c r="H433" s="281"/>
      <c r="I433" s="281"/>
      <c r="N433" s="281"/>
    </row>
    <row r="434" spans="8:14" ht="14.25" customHeight="1">
      <c r="H434" s="281"/>
      <c r="I434" s="281"/>
      <c r="N434" s="281"/>
    </row>
    <row r="435" spans="8:14" ht="14.25" customHeight="1">
      <c r="H435" s="281"/>
      <c r="I435" s="281"/>
      <c r="N435" s="281"/>
    </row>
    <row r="436" spans="8:14" ht="14.25" customHeight="1">
      <c r="H436" s="281"/>
      <c r="I436" s="281"/>
      <c r="N436" s="281"/>
    </row>
    <row r="437" spans="8:14" ht="14.25" customHeight="1">
      <c r="H437" s="281"/>
      <c r="I437" s="281"/>
      <c r="N437" s="281"/>
    </row>
    <row r="438" spans="8:14" ht="14.25" customHeight="1">
      <c r="H438" s="281"/>
      <c r="I438" s="281"/>
      <c r="N438" s="281"/>
    </row>
    <row r="439" spans="8:14" ht="14.25" customHeight="1">
      <c r="H439" s="281"/>
      <c r="I439" s="281"/>
      <c r="N439" s="281"/>
    </row>
    <row r="440" spans="8:14" ht="14.25" customHeight="1">
      <c r="H440" s="281"/>
      <c r="I440" s="281"/>
      <c r="N440" s="281"/>
    </row>
    <row r="441" spans="8:14" ht="14.25" customHeight="1">
      <c r="H441" s="281"/>
      <c r="I441" s="281"/>
      <c r="N441" s="281"/>
    </row>
    <row r="442" spans="8:14" ht="14.25" customHeight="1">
      <c r="H442" s="281"/>
      <c r="I442" s="281"/>
      <c r="N442" s="281"/>
    </row>
    <row r="443" spans="8:14" ht="14.25" customHeight="1">
      <c r="H443" s="281"/>
      <c r="I443" s="281"/>
      <c r="N443" s="281"/>
    </row>
    <row r="444" spans="8:14" ht="14.25" customHeight="1">
      <c r="H444" s="281"/>
      <c r="I444" s="281"/>
      <c r="N444" s="281"/>
    </row>
    <row r="445" spans="8:14" ht="14.25" customHeight="1">
      <c r="H445" s="281"/>
      <c r="I445" s="281"/>
      <c r="N445" s="281"/>
    </row>
    <row r="446" spans="8:14" ht="14.25" customHeight="1">
      <c r="H446" s="281"/>
      <c r="I446" s="281"/>
      <c r="N446" s="281"/>
    </row>
    <row r="447" spans="8:14" ht="14.25" customHeight="1">
      <c r="H447" s="281"/>
      <c r="I447" s="281"/>
      <c r="N447" s="281"/>
    </row>
    <row r="448" spans="8:14" ht="14.25" customHeight="1">
      <c r="H448" s="281"/>
      <c r="I448" s="281"/>
      <c r="N448" s="281"/>
    </row>
    <row r="449" spans="8:14" ht="14.25" customHeight="1">
      <c r="H449" s="281"/>
      <c r="I449" s="281"/>
      <c r="N449" s="281"/>
    </row>
    <row r="450" spans="8:14" ht="14.25" customHeight="1">
      <c r="H450" s="281"/>
      <c r="I450" s="281"/>
      <c r="N450" s="281"/>
    </row>
    <row r="451" spans="8:14" ht="14.25" customHeight="1">
      <c r="H451" s="281"/>
      <c r="I451" s="281"/>
      <c r="N451" s="281"/>
    </row>
    <row r="452" spans="8:14" ht="14.25" customHeight="1">
      <c r="H452" s="281"/>
      <c r="I452" s="281"/>
      <c r="N452" s="281"/>
    </row>
    <row r="453" spans="8:14" ht="14.25" customHeight="1">
      <c r="H453" s="281"/>
      <c r="I453" s="281"/>
      <c r="N453" s="281"/>
    </row>
    <row r="454" spans="8:14" ht="14.25" customHeight="1">
      <c r="H454" s="281"/>
      <c r="I454" s="281"/>
      <c r="N454" s="281"/>
    </row>
    <row r="455" spans="8:14" ht="14.25" customHeight="1">
      <c r="H455" s="281"/>
      <c r="I455" s="281"/>
      <c r="N455" s="281"/>
    </row>
    <row r="456" spans="8:14" ht="14.25" customHeight="1">
      <c r="H456" s="281"/>
      <c r="I456" s="281"/>
      <c r="N456" s="281"/>
    </row>
    <row r="457" spans="8:14" ht="14.25" customHeight="1">
      <c r="H457" s="281"/>
      <c r="I457" s="281"/>
      <c r="N457" s="281"/>
    </row>
    <row r="458" spans="8:14" ht="14.25" customHeight="1">
      <c r="H458" s="281"/>
      <c r="I458" s="281"/>
      <c r="N458" s="281"/>
    </row>
    <row r="459" spans="8:14" ht="14.25" customHeight="1">
      <c r="H459" s="281"/>
      <c r="I459" s="281"/>
      <c r="N459" s="281"/>
    </row>
    <row r="460" spans="8:14" ht="14.25" customHeight="1">
      <c r="H460" s="281"/>
      <c r="I460" s="281"/>
      <c r="N460" s="281"/>
    </row>
    <row r="461" spans="8:14" ht="14.25" customHeight="1">
      <c r="H461" s="281"/>
      <c r="I461" s="281"/>
      <c r="N461" s="281"/>
    </row>
    <row r="462" spans="8:14" ht="14.25" customHeight="1">
      <c r="H462" s="281"/>
      <c r="I462" s="281"/>
      <c r="N462" s="281"/>
    </row>
    <row r="463" spans="8:14" ht="14.25" customHeight="1">
      <c r="H463" s="281"/>
      <c r="I463" s="281"/>
      <c r="N463" s="281"/>
    </row>
    <row r="464" spans="8:14" ht="14.25" customHeight="1">
      <c r="H464" s="281"/>
      <c r="I464" s="281"/>
      <c r="N464" s="281"/>
    </row>
    <row r="465" spans="8:14" ht="14.25" customHeight="1">
      <c r="H465" s="281"/>
      <c r="I465" s="281"/>
      <c r="N465" s="281"/>
    </row>
    <row r="466" spans="8:14" ht="14.25" customHeight="1">
      <c r="H466" s="281"/>
      <c r="I466" s="281"/>
      <c r="N466" s="281"/>
    </row>
    <row r="467" spans="8:14" ht="14.25" customHeight="1">
      <c r="H467" s="281"/>
      <c r="I467" s="281"/>
      <c r="N467" s="281"/>
    </row>
    <row r="468" spans="8:14" ht="14.25" customHeight="1">
      <c r="H468" s="281"/>
      <c r="I468" s="281"/>
      <c r="N468" s="281"/>
    </row>
    <row r="469" spans="8:14" ht="14.25" customHeight="1">
      <c r="H469" s="281"/>
      <c r="I469" s="281"/>
      <c r="N469" s="281"/>
    </row>
    <row r="470" spans="8:14" ht="14.25" customHeight="1">
      <c r="H470" s="281"/>
      <c r="I470" s="281"/>
      <c r="N470" s="281"/>
    </row>
    <row r="471" spans="8:14" ht="14.25" customHeight="1">
      <c r="H471" s="281"/>
      <c r="I471" s="281"/>
      <c r="N471" s="281"/>
    </row>
    <row r="472" spans="8:14" ht="14.25" customHeight="1">
      <c r="H472" s="281"/>
      <c r="I472" s="281"/>
      <c r="N472" s="281"/>
    </row>
    <row r="473" spans="8:14" ht="14.25" customHeight="1">
      <c r="H473" s="281"/>
      <c r="I473" s="281"/>
      <c r="N473" s="281"/>
    </row>
    <row r="474" spans="8:14" ht="14.25" customHeight="1">
      <c r="H474" s="281"/>
      <c r="I474" s="281"/>
      <c r="N474" s="281"/>
    </row>
    <row r="475" spans="8:14" ht="14.25" customHeight="1">
      <c r="H475" s="281"/>
      <c r="I475" s="281"/>
      <c r="N475" s="281"/>
    </row>
    <row r="476" spans="8:14" ht="14.25" customHeight="1">
      <c r="H476" s="281"/>
      <c r="I476" s="281"/>
      <c r="N476" s="281"/>
    </row>
    <row r="477" spans="8:14" ht="14.25" customHeight="1">
      <c r="H477" s="281"/>
      <c r="I477" s="281"/>
      <c r="N477" s="281"/>
    </row>
    <row r="478" spans="8:14" ht="14.25" customHeight="1">
      <c r="H478" s="281"/>
      <c r="I478" s="281"/>
      <c r="N478" s="281"/>
    </row>
    <row r="479" spans="8:14" ht="14.25" customHeight="1">
      <c r="H479" s="281"/>
      <c r="I479" s="281"/>
      <c r="N479" s="281"/>
    </row>
    <row r="480" spans="8:14" ht="14.25" customHeight="1">
      <c r="H480" s="281"/>
      <c r="I480" s="281"/>
      <c r="N480" s="281"/>
    </row>
    <row r="481" spans="8:14" ht="14.25" customHeight="1">
      <c r="H481" s="281"/>
      <c r="I481" s="281"/>
      <c r="N481" s="281"/>
    </row>
    <row r="482" spans="8:14" ht="14.25" customHeight="1">
      <c r="H482" s="281"/>
      <c r="I482" s="281"/>
      <c r="N482" s="281"/>
    </row>
    <row r="483" spans="8:14" ht="14.25" customHeight="1">
      <c r="H483" s="281"/>
      <c r="I483" s="281"/>
      <c r="N483" s="281"/>
    </row>
    <row r="484" spans="8:14" ht="14.25" customHeight="1">
      <c r="H484" s="281"/>
      <c r="I484" s="281"/>
      <c r="N484" s="281"/>
    </row>
    <row r="485" spans="8:14" ht="14.25" customHeight="1">
      <c r="H485" s="281"/>
      <c r="I485" s="281"/>
      <c r="N485" s="281"/>
    </row>
    <row r="486" spans="8:14" ht="14.25" customHeight="1">
      <c r="H486" s="281"/>
      <c r="I486" s="281"/>
      <c r="N486" s="281"/>
    </row>
    <row r="487" spans="8:14" ht="14.25" customHeight="1">
      <c r="H487" s="281"/>
      <c r="I487" s="281"/>
      <c r="N487" s="281"/>
    </row>
    <row r="488" spans="8:14" ht="14.25" customHeight="1">
      <c r="H488" s="281"/>
      <c r="I488" s="281"/>
      <c r="N488" s="281"/>
    </row>
    <row r="489" spans="8:14" ht="14.25" customHeight="1">
      <c r="H489" s="281"/>
      <c r="I489" s="281"/>
      <c r="N489" s="281"/>
    </row>
    <row r="490" spans="8:14" ht="14.25" customHeight="1">
      <c r="H490" s="281"/>
      <c r="I490" s="281"/>
      <c r="N490" s="281"/>
    </row>
    <row r="491" spans="8:14" ht="14.25" customHeight="1">
      <c r="H491" s="281"/>
      <c r="I491" s="281"/>
      <c r="N491" s="281"/>
    </row>
    <row r="492" spans="8:14" ht="14.25" customHeight="1">
      <c r="H492" s="281"/>
      <c r="I492" s="281"/>
      <c r="N492" s="281"/>
    </row>
    <row r="493" spans="8:14" ht="14.25" customHeight="1">
      <c r="H493" s="281"/>
      <c r="I493" s="281"/>
      <c r="N493" s="281"/>
    </row>
    <row r="494" spans="8:14" ht="14.25" customHeight="1">
      <c r="H494" s="281"/>
      <c r="I494" s="281"/>
      <c r="N494" s="281"/>
    </row>
    <row r="495" spans="8:14" ht="14.25" customHeight="1">
      <c r="H495" s="281"/>
      <c r="I495" s="281"/>
      <c r="N495" s="281"/>
    </row>
    <row r="496" spans="8:14" ht="14.25" customHeight="1">
      <c r="H496" s="281"/>
      <c r="I496" s="281"/>
      <c r="N496" s="281"/>
    </row>
    <row r="497" spans="8:14" ht="14.25" customHeight="1">
      <c r="H497" s="281"/>
      <c r="I497" s="281"/>
      <c r="N497" s="281"/>
    </row>
    <row r="498" spans="8:14" ht="14.25" customHeight="1">
      <c r="H498" s="281"/>
      <c r="I498" s="281"/>
      <c r="N498" s="281"/>
    </row>
    <row r="499" spans="8:14" ht="14.25" customHeight="1">
      <c r="H499" s="281"/>
      <c r="I499" s="281"/>
      <c r="N499" s="281"/>
    </row>
    <row r="500" spans="8:14" ht="14.25" customHeight="1">
      <c r="H500" s="281"/>
      <c r="I500" s="281"/>
      <c r="N500" s="281"/>
    </row>
    <row r="501" spans="8:14" ht="14.25" customHeight="1">
      <c r="H501" s="281"/>
      <c r="I501" s="281"/>
      <c r="N501" s="281"/>
    </row>
    <row r="502" spans="8:14" ht="14.25" customHeight="1">
      <c r="H502" s="281"/>
      <c r="I502" s="281"/>
      <c r="N502" s="281"/>
    </row>
    <row r="503" spans="8:14" ht="14.25" customHeight="1">
      <c r="H503" s="281"/>
      <c r="I503" s="281"/>
      <c r="N503" s="281"/>
    </row>
    <row r="504" spans="8:14" ht="14.25" customHeight="1">
      <c r="H504" s="281"/>
      <c r="I504" s="281"/>
      <c r="N504" s="281"/>
    </row>
    <row r="505" spans="8:14" ht="14.25" customHeight="1">
      <c r="H505" s="281"/>
      <c r="I505" s="281"/>
      <c r="N505" s="281"/>
    </row>
    <row r="506" spans="8:14" ht="14.25" customHeight="1">
      <c r="H506" s="281"/>
      <c r="I506" s="281"/>
      <c r="N506" s="281"/>
    </row>
    <row r="507" spans="8:14" ht="14.25" customHeight="1">
      <c r="H507" s="281"/>
      <c r="I507" s="281"/>
      <c r="N507" s="281"/>
    </row>
    <row r="508" spans="8:14" ht="14.25" customHeight="1">
      <c r="H508" s="281"/>
      <c r="I508" s="281"/>
      <c r="N508" s="281"/>
    </row>
    <row r="509" spans="8:14" ht="14.25" customHeight="1">
      <c r="H509" s="281"/>
      <c r="I509" s="281"/>
      <c r="N509" s="281"/>
    </row>
    <row r="510" spans="8:14" ht="14.25" customHeight="1">
      <c r="H510" s="281"/>
      <c r="I510" s="281"/>
      <c r="N510" s="281"/>
    </row>
    <row r="511" spans="8:14" ht="14.25" customHeight="1">
      <c r="H511" s="281"/>
      <c r="I511" s="281"/>
      <c r="N511" s="281"/>
    </row>
    <row r="512" spans="8:14" ht="14.25" customHeight="1">
      <c r="H512" s="281"/>
      <c r="I512" s="281"/>
      <c r="N512" s="281"/>
    </row>
    <row r="513" spans="8:14" ht="14.25" customHeight="1">
      <c r="H513" s="281"/>
      <c r="I513" s="281"/>
      <c r="N513" s="281"/>
    </row>
    <row r="514" spans="8:14" ht="14.25" customHeight="1">
      <c r="H514" s="281"/>
      <c r="I514" s="281"/>
      <c r="N514" s="281"/>
    </row>
    <row r="515" spans="8:14" ht="14.25" customHeight="1">
      <c r="H515" s="281"/>
      <c r="I515" s="281"/>
      <c r="N515" s="281"/>
    </row>
    <row r="516" spans="8:14" ht="14.25" customHeight="1">
      <c r="H516" s="281"/>
      <c r="I516" s="281"/>
      <c r="N516" s="281"/>
    </row>
    <row r="517" spans="8:14" ht="14.25" customHeight="1">
      <c r="H517" s="281"/>
      <c r="I517" s="281"/>
      <c r="N517" s="281"/>
    </row>
    <row r="518" spans="8:14" ht="14.25" customHeight="1">
      <c r="H518" s="281"/>
      <c r="I518" s="281"/>
      <c r="N518" s="281"/>
    </row>
    <row r="519" spans="8:14" ht="14.25" customHeight="1">
      <c r="H519" s="281"/>
      <c r="I519" s="281"/>
      <c r="N519" s="281"/>
    </row>
    <row r="520" spans="8:14" ht="14.25" customHeight="1">
      <c r="H520" s="281"/>
      <c r="I520" s="281"/>
      <c r="N520" s="281"/>
    </row>
    <row r="521" spans="8:14" ht="14.25" customHeight="1">
      <c r="H521" s="281"/>
      <c r="I521" s="281"/>
      <c r="N521" s="281"/>
    </row>
    <row r="522" spans="8:14" ht="14.25" customHeight="1">
      <c r="H522" s="281"/>
      <c r="I522" s="281"/>
      <c r="N522" s="281"/>
    </row>
    <row r="523" spans="8:14" ht="14.25" customHeight="1">
      <c r="H523" s="281"/>
      <c r="I523" s="281"/>
      <c r="N523" s="281"/>
    </row>
    <row r="524" spans="8:14" ht="14.25" customHeight="1">
      <c r="H524" s="281"/>
      <c r="I524" s="281"/>
      <c r="N524" s="281"/>
    </row>
    <row r="525" spans="8:14" ht="14.25" customHeight="1">
      <c r="H525" s="281"/>
      <c r="I525" s="281"/>
      <c r="N525" s="281"/>
    </row>
    <row r="526" spans="8:14" ht="14.25" customHeight="1">
      <c r="H526" s="281"/>
      <c r="I526" s="281"/>
      <c r="N526" s="281"/>
    </row>
    <row r="527" spans="8:14" ht="14.25" customHeight="1">
      <c r="H527" s="281"/>
      <c r="I527" s="281"/>
      <c r="N527" s="281"/>
    </row>
    <row r="528" spans="8:14" ht="14.25" customHeight="1">
      <c r="H528" s="281"/>
      <c r="I528" s="281"/>
      <c r="N528" s="281"/>
    </row>
    <row r="529" spans="8:14" ht="14.25" customHeight="1">
      <c r="H529" s="281"/>
      <c r="I529" s="281"/>
      <c r="N529" s="281"/>
    </row>
    <row r="530" spans="8:14" ht="14.25" customHeight="1">
      <c r="H530" s="281"/>
      <c r="I530" s="281"/>
      <c r="N530" s="281"/>
    </row>
    <row r="531" spans="8:14" ht="14.25" customHeight="1">
      <c r="H531" s="281"/>
      <c r="I531" s="281"/>
      <c r="N531" s="281"/>
    </row>
    <row r="532" spans="8:14" ht="14.25" customHeight="1">
      <c r="H532" s="281"/>
      <c r="I532" s="281"/>
      <c r="N532" s="281"/>
    </row>
    <row r="533" spans="8:14" ht="14.25" customHeight="1">
      <c r="H533" s="281"/>
      <c r="I533" s="281"/>
      <c r="N533" s="281"/>
    </row>
    <row r="534" spans="8:14" ht="14.25" customHeight="1">
      <c r="H534" s="281"/>
      <c r="I534" s="281"/>
      <c r="N534" s="281"/>
    </row>
    <row r="535" spans="8:14" ht="14.25" customHeight="1">
      <c r="H535" s="281"/>
      <c r="I535" s="281"/>
      <c r="N535" s="281"/>
    </row>
    <row r="536" spans="8:14" ht="14.25" customHeight="1">
      <c r="H536" s="281"/>
      <c r="I536" s="281"/>
      <c r="N536" s="281"/>
    </row>
    <row r="537" spans="8:14" ht="14.25" customHeight="1">
      <c r="H537" s="281"/>
      <c r="I537" s="281"/>
      <c r="N537" s="281"/>
    </row>
    <row r="538" spans="8:14" ht="14.25" customHeight="1">
      <c r="H538" s="281"/>
      <c r="I538" s="281"/>
      <c r="N538" s="281"/>
    </row>
    <row r="539" spans="8:14" ht="14.25" customHeight="1">
      <c r="H539" s="281"/>
      <c r="I539" s="281"/>
      <c r="N539" s="281"/>
    </row>
    <row r="540" spans="8:14" ht="14.25" customHeight="1">
      <c r="H540" s="281"/>
      <c r="I540" s="281"/>
      <c r="N540" s="281"/>
    </row>
    <row r="541" spans="8:14" ht="14.25" customHeight="1">
      <c r="H541" s="281"/>
      <c r="I541" s="281"/>
      <c r="N541" s="281"/>
    </row>
    <row r="542" spans="8:14" ht="14.25" customHeight="1">
      <c r="H542" s="281"/>
      <c r="I542" s="281"/>
      <c r="N542" s="281"/>
    </row>
    <row r="543" spans="8:14" ht="14.25" customHeight="1">
      <c r="H543" s="281"/>
      <c r="I543" s="281"/>
      <c r="N543" s="281"/>
    </row>
    <row r="544" spans="8:14" ht="14.25" customHeight="1">
      <c r="H544" s="281"/>
      <c r="I544" s="281"/>
      <c r="N544" s="281"/>
    </row>
    <row r="545" spans="8:14" ht="14.25" customHeight="1">
      <c r="H545" s="281"/>
      <c r="I545" s="281"/>
      <c r="N545" s="281"/>
    </row>
    <row r="546" spans="8:14" ht="14.25" customHeight="1">
      <c r="H546" s="281"/>
      <c r="I546" s="281"/>
      <c r="N546" s="281"/>
    </row>
    <row r="547" spans="8:14" ht="14.25" customHeight="1">
      <c r="H547" s="281"/>
      <c r="I547" s="281"/>
      <c r="N547" s="281"/>
    </row>
    <row r="548" spans="8:14" ht="14.25" customHeight="1">
      <c r="H548" s="281"/>
      <c r="I548" s="281"/>
      <c r="N548" s="281"/>
    </row>
    <row r="549" spans="8:14" ht="14.25" customHeight="1">
      <c r="H549" s="281"/>
      <c r="I549" s="281"/>
      <c r="N549" s="281"/>
    </row>
    <row r="550" spans="8:14" ht="14.25" customHeight="1">
      <c r="H550" s="281"/>
      <c r="I550" s="281"/>
      <c r="N550" s="281"/>
    </row>
    <row r="551" spans="8:14" ht="14.25" customHeight="1">
      <c r="H551" s="281"/>
      <c r="I551" s="281"/>
      <c r="N551" s="281"/>
    </row>
    <row r="552" spans="8:14" ht="14.25" customHeight="1">
      <c r="H552" s="281"/>
      <c r="I552" s="281"/>
      <c r="N552" s="281"/>
    </row>
    <row r="553" spans="8:14" ht="14.25" customHeight="1">
      <c r="H553" s="281"/>
      <c r="I553" s="281"/>
      <c r="N553" s="281"/>
    </row>
    <row r="554" spans="8:14" ht="14.25" customHeight="1">
      <c r="H554" s="281"/>
      <c r="I554" s="281"/>
      <c r="N554" s="281"/>
    </row>
    <row r="555" spans="8:14" ht="14.25" customHeight="1">
      <c r="H555" s="281"/>
      <c r="I555" s="281"/>
      <c r="N555" s="281"/>
    </row>
    <row r="556" spans="8:14" ht="14.25" customHeight="1">
      <c r="H556" s="281"/>
      <c r="I556" s="281"/>
      <c r="N556" s="281"/>
    </row>
    <row r="557" spans="8:14" ht="14.25" customHeight="1">
      <c r="H557" s="281"/>
      <c r="I557" s="281"/>
      <c r="N557" s="281"/>
    </row>
    <row r="558" spans="8:14" ht="14.25" customHeight="1">
      <c r="H558" s="281"/>
      <c r="I558" s="281"/>
      <c r="N558" s="281"/>
    </row>
    <row r="559" spans="8:14" ht="14.25" customHeight="1">
      <c r="H559" s="281"/>
      <c r="I559" s="281"/>
      <c r="N559" s="281"/>
    </row>
    <row r="560" spans="8:14" ht="14.25" customHeight="1">
      <c r="H560" s="281"/>
      <c r="I560" s="281"/>
      <c r="N560" s="281"/>
    </row>
    <row r="561" spans="8:14" ht="14.25" customHeight="1">
      <c r="H561" s="281"/>
      <c r="I561" s="281"/>
      <c r="N561" s="281"/>
    </row>
    <row r="562" spans="8:14" ht="14.25" customHeight="1">
      <c r="H562" s="281"/>
      <c r="I562" s="281"/>
      <c r="N562" s="281"/>
    </row>
    <row r="563" spans="8:14" ht="14.25" customHeight="1">
      <c r="H563" s="281"/>
      <c r="I563" s="281"/>
      <c r="N563" s="281"/>
    </row>
    <row r="564" spans="8:14" ht="14.25" customHeight="1">
      <c r="H564" s="281"/>
      <c r="I564" s="281"/>
      <c r="N564" s="281"/>
    </row>
    <row r="565" spans="8:14" ht="14.25" customHeight="1">
      <c r="H565" s="281"/>
      <c r="I565" s="281"/>
      <c r="N565" s="281"/>
    </row>
    <row r="566" spans="8:14" ht="14.25" customHeight="1">
      <c r="H566" s="281"/>
      <c r="I566" s="281"/>
      <c r="N566" s="281"/>
    </row>
    <row r="567" spans="8:14" ht="14.25" customHeight="1">
      <c r="H567" s="281"/>
      <c r="I567" s="281"/>
      <c r="N567" s="281"/>
    </row>
    <row r="568" spans="8:14" ht="14.25" customHeight="1">
      <c r="H568" s="281"/>
      <c r="I568" s="281"/>
      <c r="N568" s="281"/>
    </row>
    <row r="569" spans="8:14" ht="14.25" customHeight="1">
      <c r="H569" s="281"/>
      <c r="I569" s="281"/>
      <c r="N569" s="281"/>
    </row>
    <row r="570" spans="8:14" ht="14.25" customHeight="1">
      <c r="H570" s="281"/>
      <c r="I570" s="281"/>
      <c r="N570" s="281"/>
    </row>
    <row r="571" spans="8:14" ht="14.25" customHeight="1">
      <c r="H571" s="281"/>
      <c r="I571" s="281"/>
      <c r="N571" s="281"/>
    </row>
    <row r="572" spans="8:14" ht="14.25" customHeight="1">
      <c r="H572" s="281"/>
      <c r="I572" s="281"/>
      <c r="N572" s="281"/>
    </row>
    <row r="573" spans="8:14" ht="14.25" customHeight="1">
      <c r="H573" s="281"/>
      <c r="I573" s="281"/>
      <c r="N573" s="281"/>
    </row>
    <row r="574" spans="8:14" ht="14.25" customHeight="1">
      <c r="H574" s="281"/>
      <c r="I574" s="281"/>
      <c r="N574" s="281"/>
    </row>
    <row r="575" spans="8:14" ht="14.25" customHeight="1">
      <c r="H575" s="281"/>
      <c r="I575" s="281"/>
      <c r="N575" s="281"/>
    </row>
    <row r="576" spans="8:14" ht="14.25" customHeight="1">
      <c r="H576" s="281"/>
      <c r="I576" s="281"/>
      <c r="N576" s="281"/>
    </row>
    <row r="577" spans="8:14" ht="14.25" customHeight="1">
      <c r="H577" s="281"/>
      <c r="I577" s="281"/>
      <c r="N577" s="281"/>
    </row>
    <row r="578" spans="8:14" ht="14.25" customHeight="1">
      <c r="H578" s="281"/>
      <c r="I578" s="281"/>
      <c r="N578" s="281"/>
    </row>
    <row r="579" spans="8:14" ht="14.25" customHeight="1">
      <c r="H579" s="281"/>
      <c r="I579" s="281"/>
      <c r="N579" s="281"/>
    </row>
    <row r="580" spans="8:14" ht="14.25" customHeight="1">
      <c r="H580" s="281"/>
      <c r="I580" s="281"/>
      <c r="N580" s="281"/>
    </row>
    <row r="581" spans="8:14" ht="14.25" customHeight="1">
      <c r="H581" s="281"/>
      <c r="I581" s="281"/>
      <c r="N581" s="281"/>
    </row>
    <row r="582" spans="8:14" ht="14.25" customHeight="1">
      <c r="H582" s="281"/>
      <c r="I582" s="281"/>
      <c r="N582" s="281"/>
    </row>
    <row r="583" spans="8:14" ht="14.25" customHeight="1">
      <c r="H583" s="281"/>
      <c r="I583" s="281"/>
      <c r="N583" s="281"/>
    </row>
    <row r="584" spans="8:14" ht="14.25" customHeight="1">
      <c r="H584" s="281"/>
      <c r="I584" s="281"/>
      <c r="N584" s="281"/>
    </row>
    <row r="585" spans="8:14" ht="14.25" customHeight="1">
      <c r="H585" s="281"/>
      <c r="I585" s="281"/>
      <c r="N585" s="281"/>
    </row>
    <row r="586" spans="8:14" ht="14.25" customHeight="1">
      <c r="H586" s="281"/>
      <c r="I586" s="281"/>
      <c r="N586" s="281"/>
    </row>
    <row r="587" spans="8:14" ht="14.25" customHeight="1">
      <c r="H587" s="281"/>
      <c r="I587" s="281"/>
      <c r="N587" s="281"/>
    </row>
    <row r="588" spans="8:14" ht="14.25" customHeight="1">
      <c r="H588" s="281"/>
      <c r="I588" s="281"/>
      <c r="N588" s="281"/>
    </row>
    <row r="589" spans="8:14" ht="14.25" customHeight="1">
      <c r="H589" s="281"/>
      <c r="I589" s="281"/>
      <c r="N589" s="281"/>
    </row>
    <row r="590" spans="8:14" ht="14.25" customHeight="1">
      <c r="H590" s="281"/>
      <c r="I590" s="281"/>
      <c r="N590" s="281"/>
    </row>
    <row r="591" spans="8:14" ht="14.25" customHeight="1">
      <c r="H591" s="281"/>
      <c r="I591" s="281"/>
      <c r="N591" s="281"/>
    </row>
    <row r="592" spans="8:14" ht="14.25" customHeight="1">
      <c r="H592" s="281"/>
      <c r="I592" s="281"/>
      <c r="N592" s="281"/>
    </row>
    <row r="593" spans="8:14" ht="14.25" customHeight="1">
      <c r="H593" s="281"/>
      <c r="I593" s="281"/>
      <c r="N593" s="281"/>
    </row>
    <row r="594" spans="8:14" ht="14.25" customHeight="1">
      <c r="H594" s="281"/>
      <c r="I594" s="281"/>
      <c r="N594" s="281"/>
    </row>
    <row r="595" spans="8:14" ht="14.25" customHeight="1">
      <c r="H595" s="281"/>
      <c r="I595" s="281"/>
      <c r="N595" s="281"/>
    </row>
    <row r="596" spans="8:14" ht="14.25" customHeight="1">
      <c r="H596" s="281"/>
      <c r="I596" s="281"/>
      <c r="N596" s="281"/>
    </row>
    <row r="597" spans="8:14" ht="14.25" customHeight="1">
      <c r="H597" s="281"/>
      <c r="I597" s="281"/>
      <c r="N597" s="281"/>
    </row>
    <row r="598" spans="8:14" ht="14.25" customHeight="1">
      <c r="H598" s="281"/>
      <c r="I598" s="281"/>
      <c r="N598" s="281"/>
    </row>
    <row r="599" spans="8:14" ht="14.25" customHeight="1">
      <c r="H599" s="281"/>
      <c r="I599" s="281"/>
      <c r="N599" s="281"/>
    </row>
    <row r="600" spans="8:14" ht="14.25" customHeight="1">
      <c r="H600" s="281"/>
      <c r="I600" s="281"/>
      <c r="N600" s="281"/>
    </row>
    <row r="601" spans="8:14" ht="14.25" customHeight="1">
      <c r="H601" s="281"/>
      <c r="I601" s="281"/>
      <c r="N601" s="281"/>
    </row>
    <row r="602" spans="8:14" ht="14.25" customHeight="1">
      <c r="H602" s="281"/>
      <c r="I602" s="281"/>
      <c r="N602" s="281"/>
    </row>
    <row r="603" spans="8:14" ht="14.25" customHeight="1">
      <c r="H603" s="281"/>
      <c r="I603" s="281"/>
      <c r="N603" s="281"/>
    </row>
    <row r="604" spans="8:14" ht="14.25" customHeight="1">
      <c r="H604" s="281"/>
      <c r="I604" s="281"/>
      <c r="N604" s="281"/>
    </row>
    <row r="605" spans="8:14" ht="14.25" customHeight="1">
      <c r="H605" s="281"/>
      <c r="I605" s="281"/>
      <c r="N605" s="281"/>
    </row>
    <row r="606" spans="8:14" ht="14.25" customHeight="1">
      <c r="H606" s="281"/>
      <c r="I606" s="281"/>
      <c r="N606" s="281"/>
    </row>
    <row r="607" spans="8:14" ht="14.25" customHeight="1">
      <c r="H607" s="281"/>
      <c r="I607" s="281"/>
      <c r="N607" s="281"/>
    </row>
    <row r="608" spans="8:14" ht="14.25" customHeight="1">
      <c r="H608" s="281"/>
      <c r="I608" s="281"/>
      <c r="N608" s="281"/>
    </row>
    <row r="609" spans="8:14" ht="14.25" customHeight="1">
      <c r="H609" s="281"/>
      <c r="I609" s="281"/>
      <c r="N609" s="281"/>
    </row>
    <row r="610" spans="8:14" ht="14.25" customHeight="1">
      <c r="H610" s="281"/>
      <c r="I610" s="281"/>
      <c r="N610" s="281"/>
    </row>
    <row r="611" spans="8:14" ht="14.25" customHeight="1">
      <c r="H611" s="281"/>
      <c r="I611" s="281"/>
      <c r="N611" s="281"/>
    </row>
    <row r="612" spans="8:14" ht="14.25" customHeight="1">
      <c r="H612" s="281"/>
      <c r="I612" s="281"/>
      <c r="N612" s="281"/>
    </row>
    <row r="613" spans="8:14" ht="14.25" customHeight="1">
      <c r="H613" s="281"/>
      <c r="I613" s="281"/>
      <c r="N613" s="281"/>
    </row>
    <row r="614" spans="8:14" ht="14.25" customHeight="1">
      <c r="H614" s="281"/>
      <c r="I614" s="281"/>
      <c r="N614" s="281"/>
    </row>
    <row r="615" spans="8:14" ht="14.25" customHeight="1">
      <c r="H615" s="281"/>
      <c r="I615" s="281"/>
      <c r="N615" s="281"/>
    </row>
    <row r="616" spans="8:14" ht="14.25" customHeight="1">
      <c r="H616" s="281"/>
      <c r="I616" s="281"/>
      <c r="N616" s="281"/>
    </row>
    <row r="617" spans="8:14" ht="14.25" customHeight="1">
      <c r="H617" s="281"/>
      <c r="I617" s="281"/>
      <c r="N617" s="281"/>
    </row>
    <row r="618" spans="8:14" ht="14.25" customHeight="1">
      <c r="H618" s="281"/>
      <c r="I618" s="281"/>
      <c r="N618" s="281"/>
    </row>
    <row r="619" spans="8:14" ht="14.25" customHeight="1">
      <c r="H619" s="281"/>
      <c r="I619" s="281"/>
      <c r="N619" s="281"/>
    </row>
    <row r="620" spans="8:14" ht="14.25" customHeight="1">
      <c r="H620" s="281"/>
      <c r="I620" s="281"/>
      <c r="N620" s="281"/>
    </row>
    <row r="621" spans="8:14" ht="14.25" customHeight="1">
      <c r="H621" s="281"/>
      <c r="I621" s="281"/>
      <c r="N621" s="281"/>
    </row>
    <row r="622" spans="8:14" ht="14.25" customHeight="1">
      <c r="H622" s="281"/>
      <c r="I622" s="281"/>
      <c r="N622" s="281"/>
    </row>
    <row r="623" spans="8:14" ht="14.25" customHeight="1">
      <c r="H623" s="281"/>
      <c r="I623" s="281"/>
      <c r="N623" s="281"/>
    </row>
    <row r="624" spans="8:14" ht="14.25" customHeight="1">
      <c r="H624" s="281"/>
      <c r="I624" s="281"/>
      <c r="N624" s="281"/>
    </row>
    <row r="625" spans="8:14" ht="14.25" customHeight="1">
      <c r="H625" s="281"/>
      <c r="I625" s="281"/>
      <c r="N625" s="281"/>
    </row>
    <row r="626" spans="8:14" ht="14.25" customHeight="1">
      <c r="H626" s="281"/>
      <c r="I626" s="281"/>
      <c r="N626" s="281"/>
    </row>
    <row r="627" spans="8:14" ht="14.25" customHeight="1">
      <c r="H627" s="281"/>
      <c r="I627" s="281"/>
      <c r="N627" s="281"/>
    </row>
    <row r="628" spans="8:14" ht="14.25" customHeight="1">
      <c r="H628" s="281"/>
      <c r="I628" s="281"/>
      <c r="N628" s="281"/>
    </row>
    <row r="629" spans="8:14" ht="14.25" customHeight="1">
      <c r="H629" s="281"/>
      <c r="I629" s="281"/>
      <c r="N629" s="281"/>
    </row>
    <row r="630" spans="8:14" ht="14.25" customHeight="1">
      <c r="H630" s="281"/>
      <c r="I630" s="281"/>
      <c r="N630" s="281"/>
    </row>
    <row r="631" spans="8:14" ht="14.25" customHeight="1">
      <c r="H631" s="281"/>
      <c r="I631" s="281"/>
      <c r="N631" s="281"/>
    </row>
    <row r="632" spans="8:14" ht="14.25" customHeight="1">
      <c r="H632" s="281"/>
      <c r="I632" s="281"/>
      <c r="N632" s="281"/>
    </row>
    <row r="633" spans="8:14" ht="14.25" customHeight="1">
      <c r="H633" s="281"/>
      <c r="I633" s="281"/>
      <c r="N633" s="281"/>
    </row>
    <row r="634" spans="8:14" ht="14.25" customHeight="1">
      <c r="H634" s="281"/>
      <c r="I634" s="281"/>
      <c r="N634" s="281"/>
    </row>
    <row r="635" spans="8:14" ht="14.25" customHeight="1">
      <c r="H635" s="281"/>
      <c r="I635" s="281"/>
      <c r="N635" s="281"/>
    </row>
    <row r="636" spans="8:14" ht="14.25" customHeight="1">
      <c r="H636" s="281"/>
      <c r="I636" s="281"/>
      <c r="N636" s="281"/>
    </row>
    <row r="637" spans="8:14" ht="14.25" customHeight="1">
      <c r="H637" s="281"/>
      <c r="I637" s="281"/>
      <c r="N637" s="281"/>
    </row>
    <row r="638" spans="8:14" ht="14.25" customHeight="1">
      <c r="H638" s="281"/>
      <c r="I638" s="281"/>
      <c r="N638" s="281"/>
    </row>
    <row r="639" spans="8:14" ht="14.25" customHeight="1">
      <c r="H639" s="281"/>
      <c r="I639" s="281"/>
      <c r="N639" s="281"/>
    </row>
    <row r="640" spans="8:14" ht="14.25" customHeight="1">
      <c r="H640" s="281"/>
      <c r="I640" s="281"/>
      <c r="N640" s="281"/>
    </row>
    <row r="641" spans="8:14" ht="14.25" customHeight="1">
      <c r="H641" s="281"/>
      <c r="I641" s="281"/>
      <c r="N641" s="281"/>
    </row>
    <row r="642" spans="8:14" ht="14.25" customHeight="1">
      <c r="H642" s="281"/>
      <c r="I642" s="281"/>
      <c r="N642" s="281"/>
    </row>
    <row r="643" spans="8:14" ht="14.25" customHeight="1">
      <c r="H643" s="281"/>
      <c r="I643" s="281"/>
      <c r="N643" s="281"/>
    </row>
    <row r="644" spans="8:14" ht="14.25" customHeight="1">
      <c r="H644" s="281"/>
      <c r="I644" s="281"/>
      <c r="N644" s="281"/>
    </row>
    <row r="645" spans="8:14" ht="14.25" customHeight="1">
      <c r="H645" s="281"/>
      <c r="I645" s="281"/>
      <c r="N645" s="281"/>
    </row>
    <row r="646" spans="8:14" ht="14.25" customHeight="1">
      <c r="H646" s="281"/>
      <c r="I646" s="281"/>
      <c r="N646" s="281"/>
    </row>
    <row r="647" spans="8:14" ht="14.25" customHeight="1">
      <c r="H647" s="281"/>
      <c r="I647" s="281"/>
      <c r="N647" s="281"/>
    </row>
    <row r="648" spans="8:14" ht="14.25" customHeight="1">
      <c r="H648" s="281"/>
      <c r="I648" s="281"/>
      <c r="N648" s="281"/>
    </row>
    <row r="649" spans="8:14" ht="14.25" customHeight="1">
      <c r="H649" s="281"/>
      <c r="I649" s="281"/>
      <c r="N649" s="281"/>
    </row>
    <row r="650" spans="8:14" ht="14.25" customHeight="1">
      <c r="H650" s="281"/>
      <c r="I650" s="281"/>
      <c r="N650" s="281"/>
    </row>
    <row r="651" spans="8:14" ht="14.25" customHeight="1">
      <c r="H651" s="281"/>
      <c r="I651" s="281"/>
      <c r="N651" s="281"/>
    </row>
    <row r="652" spans="8:14" ht="14.25" customHeight="1">
      <c r="H652" s="281"/>
      <c r="I652" s="281"/>
      <c r="N652" s="281"/>
    </row>
    <row r="653" spans="8:14" ht="14.25" customHeight="1">
      <c r="H653" s="281"/>
      <c r="I653" s="281"/>
      <c r="N653" s="281"/>
    </row>
    <row r="654" spans="8:14" ht="14.25" customHeight="1">
      <c r="H654" s="281"/>
      <c r="I654" s="281"/>
      <c r="N654" s="281"/>
    </row>
    <row r="655" spans="8:14" ht="14.25" customHeight="1">
      <c r="H655" s="281"/>
      <c r="I655" s="281"/>
      <c r="N655" s="281"/>
    </row>
    <row r="656" spans="8:14" ht="14.25" customHeight="1">
      <c r="H656" s="281"/>
      <c r="I656" s="281"/>
      <c r="N656" s="281"/>
    </row>
    <row r="657" spans="8:14" ht="14.25" customHeight="1">
      <c r="H657" s="281"/>
      <c r="I657" s="281"/>
      <c r="N657" s="281"/>
    </row>
    <row r="658" spans="8:14" ht="14.25" customHeight="1">
      <c r="H658" s="281"/>
      <c r="I658" s="281"/>
      <c r="N658" s="281"/>
    </row>
    <row r="659" spans="8:14" ht="14.25" customHeight="1">
      <c r="H659" s="281"/>
      <c r="I659" s="281"/>
      <c r="N659" s="281"/>
    </row>
    <row r="660" spans="8:14" ht="14.25" customHeight="1">
      <c r="H660" s="281"/>
      <c r="I660" s="281"/>
      <c r="N660" s="281"/>
    </row>
    <row r="661" spans="8:14" ht="14.25" customHeight="1">
      <c r="H661" s="281"/>
      <c r="I661" s="281"/>
      <c r="N661" s="281"/>
    </row>
    <row r="662" spans="8:14" ht="14.25" customHeight="1">
      <c r="H662" s="281"/>
      <c r="I662" s="281"/>
      <c r="N662" s="281"/>
    </row>
    <row r="663" spans="8:14" ht="14.25" customHeight="1">
      <c r="H663" s="281"/>
      <c r="I663" s="281"/>
      <c r="N663" s="281"/>
    </row>
    <row r="664" spans="8:14" ht="14.25" customHeight="1">
      <c r="H664" s="281"/>
      <c r="I664" s="281"/>
      <c r="N664" s="281"/>
    </row>
    <row r="665" spans="8:14" ht="14.25" customHeight="1">
      <c r="H665" s="281"/>
      <c r="I665" s="281"/>
      <c r="N665" s="281"/>
    </row>
    <row r="666" spans="8:14" ht="14.25" customHeight="1">
      <c r="H666" s="281"/>
      <c r="I666" s="281"/>
      <c r="N666" s="281"/>
    </row>
    <row r="667" spans="8:14" ht="14.25" customHeight="1">
      <c r="H667" s="281"/>
      <c r="I667" s="281"/>
      <c r="N667" s="281"/>
    </row>
    <row r="668" spans="8:14" ht="14.25" customHeight="1">
      <c r="H668" s="281"/>
      <c r="I668" s="281"/>
      <c r="N668" s="281"/>
    </row>
    <row r="669" spans="8:14" ht="14.25" customHeight="1">
      <c r="H669" s="281"/>
      <c r="I669" s="281"/>
      <c r="N669" s="281"/>
    </row>
    <row r="670" spans="8:14" ht="14.25" customHeight="1">
      <c r="H670" s="281"/>
      <c r="I670" s="281"/>
      <c r="N670" s="281"/>
    </row>
    <row r="671" spans="8:14" ht="14.25" customHeight="1">
      <c r="H671" s="281"/>
      <c r="I671" s="281"/>
      <c r="N671" s="281"/>
    </row>
    <row r="672" spans="8:14" ht="14.25" customHeight="1">
      <c r="H672" s="281"/>
      <c r="I672" s="281"/>
      <c r="N672" s="281"/>
    </row>
    <row r="673" spans="8:14" ht="14.25" customHeight="1">
      <c r="H673" s="281"/>
      <c r="I673" s="281"/>
      <c r="N673" s="281"/>
    </row>
    <row r="674" spans="8:14" ht="14.25" customHeight="1">
      <c r="H674" s="281"/>
      <c r="I674" s="281"/>
      <c r="N674" s="281"/>
    </row>
    <row r="675" spans="8:14" ht="14.25" customHeight="1">
      <c r="H675" s="281"/>
      <c r="I675" s="281"/>
      <c r="N675" s="281"/>
    </row>
    <row r="676" spans="8:14" ht="14.25" customHeight="1">
      <c r="H676" s="281"/>
      <c r="I676" s="281"/>
      <c r="N676" s="281"/>
    </row>
    <row r="677" spans="8:14" ht="14.25" customHeight="1">
      <c r="H677" s="281"/>
      <c r="I677" s="281"/>
      <c r="N677" s="281"/>
    </row>
    <row r="678" spans="8:14" ht="14.25" customHeight="1">
      <c r="H678" s="281"/>
      <c r="I678" s="281"/>
      <c r="N678" s="281"/>
    </row>
    <row r="679" spans="8:14" ht="14.25" customHeight="1">
      <c r="H679" s="281"/>
      <c r="I679" s="281"/>
      <c r="N679" s="281"/>
    </row>
    <row r="680" spans="8:14" ht="14.25" customHeight="1">
      <c r="H680" s="281"/>
      <c r="I680" s="281"/>
      <c r="N680" s="281"/>
    </row>
    <row r="681" spans="8:14" ht="14.25" customHeight="1">
      <c r="H681" s="281"/>
      <c r="I681" s="281"/>
      <c r="N681" s="281"/>
    </row>
    <row r="682" spans="8:14" ht="14.25" customHeight="1">
      <c r="H682" s="281"/>
      <c r="I682" s="281"/>
      <c r="N682" s="281"/>
    </row>
    <row r="683" spans="8:14" ht="14.25" customHeight="1">
      <c r="H683" s="281"/>
      <c r="I683" s="281"/>
      <c r="N683" s="281"/>
    </row>
    <row r="684" spans="8:14" ht="14.25" customHeight="1">
      <c r="H684" s="281"/>
      <c r="I684" s="281"/>
      <c r="N684" s="281"/>
    </row>
    <row r="685" spans="8:14" ht="14.25" customHeight="1">
      <c r="H685" s="281"/>
      <c r="I685" s="281"/>
      <c r="N685" s="281"/>
    </row>
    <row r="686" spans="8:14" ht="14.25" customHeight="1">
      <c r="H686" s="281"/>
      <c r="I686" s="281"/>
      <c r="N686" s="281"/>
    </row>
    <row r="687" spans="8:14" ht="14.25" customHeight="1">
      <c r="H687" s="281"/>
      <c r="I687" s="281"/>
      <c r="N687" s="281"/>
    </row>
    <row r="688" spans="8:14" ht="14.25" customHeight="1">
      <c r="H688" s="281"/>
      <c r="I688" s="281"/>
      <c r="N688" s="281"/>
    </row>
    <row r="689" spans="8:14" ht="14.25" customHeight="1">
      <c r="H689" s="281"/>
      <c r="I689" s="281"/>
      <c r="N689" s="281"/>
    </row>
    <row r="690" spans="8:14" ht="14.25" customHeight="1">
      <c r="H690" s="281"/>
      <c r="I690" s="281"/>
      <c r="N690" s="281"/>
    </row>
    <row r="691" spans="8:14" ht="14.25" customHeight="1">
      <c r="H691" s="281"/>
      <c r="I691" s="281"/>
      <c r="N691" s="281"/>
    </row>
    <row r="692" spans="8:14" ht="14.25" customHeight="1">
      <c r="H692" s="281"/>
      <c r="I692" s="281"/>
      <c r="N692" s="281"/>
    </row>
    <row r="693" spans="8:14" ht="14.25" customHeight="1">
      <c r="H693" s="281"/>
      <c r="I693" s="281"/>
      <c r="N693" s="281"/>
    </row>
    <row r="694" spans="8:14" ht="14.25" customHeight="1">
      <c r="H694" s="281"/>
      <c r="I694" s="281"/>
      <c r="N694" s="281"/>
    </row>
    <row r="695" spans="8:14" ht="14.25" customHeight="1">
      <c r="H695" s="281"/>
      <c r="I695" s="281"/>
      <c r="N695" s="281"/>
    </row>
    <row r="696" spans="8:14" ht="14.25" customHeight="1">
      <c r="H696" s="281"/>
      <c r="I696" s="281"/>
      <c r="N696" s="281"/>
    </row>
    <row r="697" spans="8:14" ht="14.25" customHeight="1">
      <c r="H697" s="281"/>
      <c r="I697" s="281"/>
      <c r="N697" s="281"/>
    </row>
    <row r="698" spans="8:14" ht="14.25" customHeight="1">
      <c r="H698" s="281"/>
      <c r="I698" s="281"/>
      <c r="N698" s="281"/>
    </row>
    <row r="699" spans="8:14" ht="14.25" customHeight="1">
      <c r="H699" s="281"/>
      <c r="I699" s="281"/>
      <c r="N699" s="281"/>
    </row>
    <row r="700" spans="8:14" ht="14.25" customHeight="1">
      <c r="H700" s="281"/>
      <c r="I700" s="281"/>
      <c r="N700" s="281"/>
    </row>
    <row r="701" spans="8:14" ht="14.25" customHeight="1">
      <c r="H701" s="281"/>
      <c r="I701" s="281"/>
      <c r="N701" s="281"/>
    </row>
    <row r="702" spans="8:14" ht="14.25" customHeight="1">
      <c r="H702" s="281"/>
      <c r="I702" s="281"/>
      <c r="N702" s="281"/>
    </row>
    <row r="703" spans="8:14" ht="14.25" customHeight="1">
      <c r="H703" s="281"/>
      <c r="I703" s="281"/>
      <c r="N703" s="281"/>
    </row>
    <row r="704" spans="8:14" ht="14.25" customHeight="1">
      <c r="H704" s="281"/>
      <c r="I704" s="281"/>
      <c r="N704" s="281"/>
    </row>
    <row r="705" spans="8:14" ht="14.25" customHeight="1">
      <c r="H705" s="281"/>
      <c r="I705" s="281"/>
      <c r="N705" s="281"/>
    </row>
    <row r="706" spans="8:14" ht="14.25" customHeight="1">
      <c r="H706" s="281"/>
      <c r="I706" s="281"/>
      <c r="N706" s="281"/>
    </row>
    <row r="707" spans="8:14" ht="14.25" customHeight="1">
      <c r="H707" s="281"/>
      <c r="I707" s="281"/>
      <c r="N707" s="281"/>
    </row>
    <row r="708" spans="8:14" ht="14.25" customHeight="1">
      <c r="H708" s="281"/>
      <c r="I708" s="281"/>
      <c r="N708" s="281"/>
    </row>
    <row r="709" spans="8:14" ht="14.25" customHeight="1">
      <c r="H709" s="281"/>
      <c r="I709" s="281"/>
      <c r="N709" s="281"/>
    </row>
    <row r="710" spans="8:14" ht="14.25" customHeight="1">
      <c r="H710" s="281"/>
      <c r="I710" s="281"/>
      <c r="N710" s="281"/>
    </row>
    <row r="711" spans="8:14" ht="14.25" customHeight="1">
      <c r="H711" s="281"/>
      <c r="I711" s="281"/>
      <c r="N711" s="281"/>
    </row>
    <row r="712" spans="8:14" ht="14.25" customHeight="1">
      <c r="H712" s="281"/>
      <c r="I712" s="281"/>
      <c r="N712" s="281"/>
    </row>
    <row r="713" spans="8:14" ht="14.25" customHeight="1">
      <c r="H713" s="281"/>
      <c r="I713" s="281"/>
      <c r="N713" s="281"/>
    </row>
    <row r="714" spans="8:14" ht="14.25" customHeight="1">
      <c r="H714" s="281"/>
      <c r="I714" s="281"/>
      <c r="N714" s="281"/>
    </row>
    <row r="715" spans="8:14" ht="14.25" customHeight="1">
      <c r="H715" s="281"/>
      <c r="I715" s="281"/>
      <c r="N715" s="281"/>
    </row>
    <row r="716" spans="8:14" ht="14.25" customHeight="1">
      <c r="H716" s="281"/>
      <c r="I716" s="281"/>
      <c r="N716" s="281"/>
    </row>
    <row r="717" spans="8:14" ht="14.25" customHeight="1">
      <c r="H717" s="281"/>
      <c r="I717" s="281"/>
      <c r="N717" s="281"/>
    </row>
    <row r="718" spans="8:14" ht="14.25" customHeight="1">
      <c r="H718" s="281"/>
      <c r="I718" s="281"/>
      <c r="N718" s="281"/>
    </row>
    <row r="719" spans="8:14" ht="14.25" customHeight="1">
      <c r="H719" s="281"/>
      <c r="I719" s="281"/>
      <c r="N719" s="281"/>
    </row>
    <row r="720" spans="8:14" ht="14.25" customHeight="1">
      <c r="H720" s="281"/>
      <c r="I720" s="281"/>
      <c r="N720" s="281"/>
    </row>
    <row r="721" spans="8:14" ht="14.25" customHeight="1">
      <c r="H721" s="281"/>
      <c r="I721" s="281"/>
      <c r="N721" s="281"/>
    </row>
    <row r="722" spans="8:14" ht="14.25" customHeight="1">
      <c r="H722" s="281"/>
      <c r="I722" s="281"/>
      <c r="N722" s="281"/>
    </row>
    <row r="723" spans="8:14" ht="14.25" customHeight="1">
      <c r="H723" s="281"/>
      <c r="I723" s="281"/>
      <c r="N723" s="281"/>
    </row>
    <row r="724" spans="8:14" ht="14.25" customHeight="1">
      <c r="H724" s="281"/>
      <c r="I724" s="281"/>
      <c r="N724" s="281"/>
    </row>
    <row r="725" spans="8:14" ht="14.25" customHeight="1">
      <c r="H725" s="281"/>
      <c r="I725" s="281"/>
      <c r="N725" s="281"/>
    </row>
    <row r="726" spans="8:14" ht="14.25" customHeight="1">
      <c r="H726" s="281"/>
      <c r="I726" s="281"/>
      <c r="N726" s="281"/>
    </row>
    <row r="727" spans="8:14" ht="14.25" customHeight="1">
      <c r="H727" s="281"/>
      <c r="I727" s="281"/>
      <c r="N727" s="281"/>
    </row>
    <row r="728" spans="8:14" ht="14.25" customHeight="1">
      <c r="H728" s="281"/>
      <c r="I728" s="281"/>
      <c r="N728" s="281"/>
    </row>
    <row r="729" spans="8:14" ht="14.25" customHeight="1">
      <c r="H729" s="281"/>
      <c r="I729" s="281"/>
      <c r="N729" s="281"/>
    </row>
    <row r="730" spans="8:14" ht="14.25" customHeight="1">
      <c r="H730" s="281"/>
      <c r="I730" s="281"/>
      <c r="N730" s="281"/>
    </row>
    <row r="731" spans="8:14" ht="14.25" customHeight="1">
      <c r="H731" s="281"/>
      <c r="I731" s="281"/>
      <c r="N731" s="281"/>
    </row>
    <row r="732" spans="8:14" ht="14.25" customHeight="1">
      <c r="H732" s="281"/>
      <c r="I732" s="281"/>
      <c r="N732" s="281"/>
    </row>
    <row r="733" spans="8:14" ht="14.25" customHeight="1">
      <c r="H733" s="281"/>
      <c r="I733" s="281"/>
      <c r="N733" s="281"/>
    </row>
    <row r="734" spans="8:14" ht="14.25" customHeight="1">
      <c r="H734" s="281"/>
      <c r="I734" s="281"/>
      <c r="N734" s="281"/>
    </row>
    <row r="735" spans="8:14" ht="14.25" customHeight="1">
      <c r="H735" s="281"/>
      <c r="I735" s="281"/>
      <c r="N735" s="281"/>
    </row>
    <row r="736" spans="8:14" ht="14.25" customHeight="1">
      <c r="H736" s="281"/>
      <c r="I736" s="281"/>
      <c r="N736" s="281"/>
    </row>
    <row r="737" spans="8:14" ht="14.25" customHeight="1">
      <c r="H737" s="281"/>
      <c r="I737" s="281"/>
      <c r="N737" s="281"/>
    </row>
    <row r="738" spans="8:14" ht="14.25" customHeight="1">
      <c r="H738" s="281"/>
      <c r="I738" s="281"/>
      <c r="N738" s="281"/>
    </row>
    <row r="739" spans="8:14" ht="14.25" customHeight="1">
      <c r="H739" s="281"/>
      <c r="I739" s="281"/>
      <c r="N739" s="281"/>
    </row>
    <row r="740" spans="8:14" ht="14.25" customHeight="1">
      <c r="H740" s="281"/>
      <c r="I740" s="281"/>
      <c r="N740" s="281"/>
    </row>
    <row r="741" spans="8:14" ht="14.25" customHeight="1">
      <c r="H741" s="281"/>
      <c r="I741" s="281"/>
      <c r="N741" s="281"/>
    </row>
    <row r="742" spans="8:14" ht="14.25" customHeight="1">
      <c r="H742" s="281"/>
      <c r="I742" s="281"/>
      <c r="N742" s="281"/>
    </row>
    <row r="743" spans="8:14" ht="14.25" customHeight="1">
      <c r="H743" s="281"/>
      <c r="I743" s="281"/>
      <c r="N743" s="281"/>
    </row>
    <row r="744" spans="8:14" ht="14.25" customHeight="1">
      <c r="H744" s="281"/>
      <c r="I744" s="281"/>
      <c r="N744" s="281"/>
    </row>
    <row r="745" spans="8:14" ht="14.25" customHeight="1">
      <c r="H745" s="281"/>
      <c r="I745" s="281"/>
      <c r="N745" s="281"/>
    </row>
    <row r="746" spans="8:14" ht="14.25" customHeight="1">
      <c r="H746" s="281"/>
      <c r="I746" s="281"/>
      <c r="N746" s="281"/>
    </row>
    <row r="747" spans="8:14" ht="14.25" customHeight="1">
      <c r="H747" s="281"/>
      <c r="I747" s="281"/>
      <c r="N747" s="281"/>
    </row>
    <row r="748" spans="8:14" ht="14.25" customHeight="1">
      <c r="H748" s="281"/>
      <c r="I748" s="281"/>
      <c r="N748" s="281"/>
    </row>
    <row r="749" spans="8:14" ht="14.25" customHeight="1">
      <c r="H749" s="281"/>
      <c r="I749" s="281"/>
      <c r="N749" s="281"/>
    </row>
    <row r="750" spans="8:14" ht="14.25" customHeight="1">
      <c r="H750" s="281"/>
      <c r="I750" s="281"/>
      <c r="N750" s="281"/>
    </row>
    <row r="751" spans="8:14" ht="14.25" customHeight="1">
      <c r="H751" s="281"/>
      <c r="I751" s="281"/>
      <c r="N751" s="281"/>
    </row>
    <row r="752" spans="8:14" ht="14.25" customHeight="1">
      <c r="H752" s="281"/>
      <c r="I752" s="281"/>
      <c r="N752" s="281"/>
    </row>
    <row r="753" spans="8:14" ht="14.25" customHeight="1">
      <c r="H753" s="281"/>
      <c r="I753" s="281"/>
      <c r="N753" s="281"/>
    </row>
    <row r="754" spans="8:14" ht="14.25" customHeight="1">
      <c r="H754" s="281"/>
      <c r="I754" s="281"/>
      <c r="N754" s="281"/>
    </row>
    <row r="755" spans="8:14" ht="14.25" customHeight="1">
      <c r="H755" s="281"/>
      <c r="I755" s="281"/>
      <c r="N755" s="281"/>
    </row>
    <row r="756" spans="8:14" ht="14.25" customHeight="1">
      <c r="H756" s="281"/>
      <c r="I756" s="281"/>
      <c r="N756" s="281"/>
    </row>
    <row r="757" spans="8:14" ht="14.25" customHeight="1">
      <c r="H757" s="281"/>
      <c r="I757" s="281"/>
      <c r="N757" s="281"/>
    </row>
    <row r="758" spans="8:14" ht="14.25" customHeight="1">
      <c r="H758" s="281"/>
      <c r="I758" s="281"/>
      <c r="N758" s="281"/>
    </row>
    <row r="759" spans="8:14" ht="14.25" customHeight="1">
      <c r="H759" s="281"/>
      <c r="I759" s="281"/>
      <c r="N759" s="281"/>
    </row>
    <row r="760" spans="8:14" ht="14.25" customHeight="1">
      <c r="H760" s="281"/>
      <c r="I760" s="281"/>
      <c r="N760" s="281"/>
    </row>
    <row r="761" spans="8:14" ht="14.25" customHeight="1">
      <c r="H761" s="281"/>
      <c r="I761" s="281"/>
      <c r="N761" s="281"/>
    </row>
    <row r="762" spans="8:14" ht="14.25" customHeight="1">
      <c r="H762" s="281"/>
      <c r="I762" s="281"/>
      <c r="N762" s="281"/>
    </row>
    <row r="763" spans="8:14" ht="14.25" customHeight="1">
      <c r="H763" s="281"/>
      <c r="I763" s="281"/>
      <c r="N763" s="281"/>
    </row>
    <row r="764" spans="8:14" ht="14.25" customHeight="1">
      <c r="H764" s="281"/>
      <c r="I764" s="281"/>
      <c r="N764" s="281"/>
    </row>
    <row r="765" spans="8:14" ht="14.25" customHeight="1">
      <c r="H765" s="281"/>
      <c r="I765" s="281"/>
      <c r="N765" s="281"/>
    </row>
    <row r="766" spans="8:14" ht="14.25" customHeight="1">
      <c r="H766" s="281"/>
      <c r="I766" s="281"/>
      <c r="N766" s="281"/>
    </row>
    <row r="767" spans="8:14" ht="14.25" customHeight="1">
      <c r="H767" s="281"/>
      <c r="I767" s="281"/>
      <c r="N767" s="281"/>
    </row>
    <row r="768" spans="8:14" ht="14.25" customHeight="1">
      <c r="H768" s="281"/>
      <c r="I768" s="281"/>
      <c r="N768" s="281"/>
    </row>
    <row r="769" spans="8:14" ht="14.25" customHeight="1">
      <c r="H769" s="281"/>
      <c r="I769" s="281"/>
      <c r="N769" s="281"/>
    </row>
    <row r="770" spans="8:14" ht="14.25" customHeight="1">
      <c r="H770" s="281"/>
      <c r="I770" s="281"/>
      <c r="N770" s="281"/>
    </row>
    <row r="771" spans="8:14" ht="14.25" customHeight="1">
      <c r="H771" s="281"/>
      <c r="I771" s="281"/>
      <c r="N771" s="281"/>
    </row>
    <row r="772" spans="8:14" ht="14.25" customHeight="1">
      <c r="H772" s="281"/>
      <c r="I772" s="281"/>
      <c r="N772" s="281"/>
    </row>
    <row r="773" spans="8:14" ht="14.25" customHeight="1">
      <c r="H773" s="281"/>
      <c r="I773" s="281"/>
      <c r="N773" s="281"/>
    </row>
    <row r="774" spans="8:14" ht="14.25" customHeight="1">
      <c r="H774" s="281"/>
      <c r="I774" s="281"/>
      <c r="N774" s="281"/>
    </row>
    <row r="775" spans="8:14" ht="14.25" customHeight="1">
      <c r="H775" s="281"/>
      <c r="I775" s="281"/>
      <c r="N775" s="281"/>
    </row>
    <row r="776" spans="8:14" ht="14.25" customHeight="1">
      <c r="H776" s="281"/>
      <c r="I776" s="281"/>
      <c r="N776" s="281"/>
    </row>
    <row r="777" spans="8:14" ht="14.25" customHeight="1">
      <c r="H777" s="281"/>
      <c r="I777" s="281"/>
      <c r="N777" s="281"/>
    </row>
    <row r="778" spans="8:14" ht="14.25" customHeight="1">
      <c r="H778" s="281"/>
      <c r="I778" s="281"/>
      <c r="N778" s="281"/>
    </row>
    <row r="779" spans="8:14" ht="14.25" customHeight="1">
      <c r="H779" s="281"/>
      <c r="I779" s="281"/>
      <c r="N779" s="281"/>
    </row>
    <row r="780" spans="8:14" ht="14.25" customHeight="1">
      <c r="H780" s="281"/>
      <c r="I780" s="281"/>
      <c r="N780" s="281"/>
    </row>
    <row r="781" spans="8:14" ht="14.25" customHeight="1">
      <c r="H781" s="281"/>
      <c r="I781" s="281"/>
      <c r="N781" s="281"/>
    </row>
    <row r="782" spans="8:14" ht="14.25" customHeight="1">
      <c r="H782" s="281"/>
      <c r="I782" s="281"/>
      <c r="N782" s="281"/>
    </row>
    <row r="783" spans="8:14" ht="14.25" customHeight="1">
      <c r="H783" s="281"/>
      <c r="I783" s="281"/>
      <c r="N783" s="281"/>
    </row>
    <row r="784" spans="8:14" ht="14.25" customHeight="1">
      <c r="H784" s="281"/>
      <c r="I784" s="281"/>
      <c r="N784" s="281"/>
    </row>
    <row r="785" spans="8:14" ht="14.25" customHeight="1">
      <c r="H785" s="281"/>
      <c r="I785" s="281"/>
      <c r="N785" s="281"/>
    </row>
    <row r="786" spans="8:14" ht="14.25" customHeight="1">
      <c r="H786" s="281"/>
      <c r="I786" s="281"/>
      <c r="N786" s="281"/>
    </row>
    <row r="787" spans="8:14" ht="14.25" customHeight="1">
      <c r="H787" s="281"/>
      <c r="I787" s="281"/>
      <c r="N787" s="281"/>
    </row>
    <row r="788" spans="8:14" ht="14.25" customHeight="1">
      <c r="H788" s="281"/>
      <c r="I788" s="281"/>
      <c r="N788" s="281"/>
    </row>
    <row r="789" spans="8:14" ht="14.25" customHeight="1">
      <c r="H789" s="281"/>
      <c r="I789" s="281"/>
      <c r="N789" s="281"/>
    </row>
    <row r="790" spans="8:14" ht="14.25" customHeight="1">
      <c r="H790" s="281"/>
      <c r="I790" s="281"/>
      <c r="N790" s="281"/>
    </row>
    <row r="791" spans="8:14" ht="14.25" customHeight="1">
      <c r="H791" s="281"/>
      <c r="I791" s="281"/>
      <c r="N791" s="281"/>
    </row>
    <row r="792" spans="8:14" ht="14.25" customHeight="1">
      <c r="H792" s="281"/>
      <c r="I792" s="281"/>
      <c r="N792" s="281"/>
    </row>
    <row r="793" spans="8:14" ht="14.25" customHeight="1">
      <c r="H793" s="281"/>
      <c r="I793" s="281"/>
      <c r="N793" s="281"/>
    </row>
    <row r="794" spans="8:14" ht="14.25" customHeight="1">
      <c r="H794" s="281"/>
      <c r="I794" s="281"/>
      <c r="N794" s="281"/>
    </row>
    <row r="795" spans="8:14" ht="14.25" customHeight="1">
      <c r="H795" s="281"/>
      <c r="I795" s="281"/>
      <c r="N795" s="281"/>
    </row>
    <row r="796" spans="8:14" ht="14.25" customHeight="1">
      <c r="H796" s="281"/>
      <c r="I796" s="281"/>
      <c r="N796" s="281"/>
    </row>
    <row r="797" spans="8:14" ht="14.25" customHeight="1">
      <c r="H797" s="281"/>
      <c r="I797" s="281"/>
      <c r="N797" s="281"/>
    </row>
    <row r="798" spans="8:14" ht="14.25" customHeight="1">
      <c r="H798" s="281"/>
      <c r="I798" s="281"/>
      <c r="N798" s="281"/>
    </row>
    <row r="799" spans="8:14" ht="14.25" customHeight="1">
      <c r="H799" s="281"/>
      <c r="I799" s="281"/>
      <c r="N799" s="281"/>
    </row>
    <row r="800" spans="8:14" ht="14.25" customHeight="1">
      <c r="H800" s="281"/>
      <c r="I800" s="281"/>
      <c r="N800" s="281"/>
    </row>
    <row r="801" spans="8:14" ht="14.25" customHeight="1">
      <c r="H801" s="281"/>
      <c r="I801" s="281"/>
      <c r="N801" s="281"/>
    </row>
    <row r="802" spans="8:14" ht="14.25" customHeight="1">
      <c r="H802" s="281"/>
      <c r="I802" s="281"/>
      <c r="N802" s="281"/>
    </row>
    <row r="803" spans="8:14" ht="14.25" customHeight="1">
      <c r="H803" s="281"/>
      <c r="I803" s="281"/>
      <c r="N803" s="281"/>
    </row>
    <row r="804" spans="8:14" ht="14.25" customHeight="1">
      <c r="H804" s="281"/>
      <c r="I804" s="281"/>
      <c r="N804" s="281"/>
    </row>
    <row r="805" spans="8:14" ht="14.25" customHeight="1">
      <c r="H805" s="281"/>
      <c r="I805" s="281"/>
      <c r="N805" s="281"/>
    </row>
    <row r="806" spans="8:14" ht="14.25" customHeight="1">
      <c r="H806" s="281"/>
      <c r="I806" s="281"/>
      <c r="N806" s="281"/>
    </row>
    <row r="807" spans="8:14" ht="14.25" customHeight="1">
      <c r="H807" s="281"/>
      <c r="I807" s="281"/>
      <c r="N807" s="281"/>
    </row>
    <row r="808" spans="8:14" ht="14.25" customHeight="1">
      <c r="H808" s="281"/>
      <c r="I808" s="281"/>
      <c r="N808" s="281"/>
    </row>
    <row r="809" spans="8:14" ht="14.25" customHeight="1">
      <c r="H809" s="281"/>
      <c r="I809" s="281"/>
      <c r="N809" s="281"/>
    </row>
    <row r="810" spans="8:14" ht="14.25" customHeight="1">
      <c r="H810" s="281"/>
      <c r="I810" s="281"/>
      <c r="N810" s="281"/>
    </row>
    <row r="811" spans="8:14" ht="14.25" customHeight="1">
      <c r="H811" s="281"/>
      <c r="I811" s="281"/>
      <c r="N811" s="281"/>
    </row>
    <row r="812" spans="8:14" ht="14.25" customHeight="1">
      <c r="H812" s="281"/>
      <c r="I812" s="281"/>
      <c r="N812" s="281"/>
    </row>
    <row r="813" spans="8:14" ht="14.25" customHeight="1">
      <c r="H813" s="281"/>
      <c r="I813" s="281"/>
      <c r="N813" s="281"/>
    </row>
    <row r="814" spans="8:14" ht="14.25" customHeight="1">
      <c r="H814" s="281"/>
      <c r="I814" s="281"/>
      <c r="N814" s="281"/>
    </row>
    <row r="815" spans="8:14" ht="14.25" customHeight="1">
      <c r="H815" s="281"/>
      <c r="I815" s="281"/>
      <c r="N815" s="281"/>
    </row>
    <row r="816" spans="8:14" ht="14.25" customHeight="1">
      <c r="H816" s="281"/>
      <c r="I816" s="281"/>
      <c r="N816" s="281"/>
    </row>
    <row r="817" spans="8:14" ht="14.25" customHeight="1">
      <c r="H817" s="281"/>
      <c r="I817" s="281"/>
      <c r="N817" s="281"/>
    </row>
    <row r="818" spans="8:14" ht="14.25" customHeight="1">
      <c r="H818" s="281"/>
      <c r="I818" s="281"/>
      <c r="N818" s="281"/>
    </row>
    <row r="819" spans="8:14" ht="14.25" customHeight="1">
      <c r="H819" s="281"/>
      <c r="I819" s="281"/>
      <c r="N819" s="281"/>
    </row>
    <row r="820" spans="8:14" ht="14.25" customHeight="1">
      <c r="H820" s="281"/>
      <c r="I820" s="281"/>
      <c r="N820" s="281"/>
    </row>
    <row r="821" spans="8:14" ht="14.25" customHeight="1">
      <c r="H821" s="281"/>
      <c r="I821" s="281"/>
      <c r="N821" s="281"/>
    </row>
    <row r="822" spans="8:14" ht="14.25" customHeight="1">
      <c r="H822" s="281"/>
      <c r="I822" s="281"/>
      <c r="N822" s="281"/>
    </row>
    <row r="823" spans="8:14" ht="14.25" customHeight="1">
      <c r="H823" s="281"/>
      <c r="I823" s="281"/>
      <c r="N823" s="281"/>
    </row>
    <row r="824" spans="8:14" ht="14.25" customHeight="1">
      <c r="H824" s="281"/>
      <c r="I824" s="281"/>
      <c r="N824" s="281"/>
    </row>
    <row r="825" spans="8:14" ht="14.25" customHeight="1">
      <c r="H825" s="281"/>
      <c r="I825" s="281"/>
      <c r="N825" s="281"/>
    </row>
    <row r="826" spans="8:14" ht="14.25" customHeight="1">
      <c r="H826" s="281"/>
      <c r="I826" s="281"/>
      <c r="N826" s="281"/>
    </row>
    <row r="827" spans="8:14" ht="14.25" customHeight="1">
      <c r="H827" s="281"/>
      <c r="I827" s="281"/>
      <c r="N827" s="281"/>
    </row>
    <row r="828" spans="8:14" ht="14.25" customHeight="1">
      <c r="H828" s="281"/>
      <c r="I828" s="281"/>
      <c r="N828" s="281"/>
    </row>
    <row r="829" spans="8:14" ht="14.25" customHeight="1">
      <c r="H829" s="281"/>
      <c r="I829" s="281"/>
      <c r="N829" s="281"/>
    </row>
    <row r="830" spans="8:14" ht="14.25" customHeight="1">
      <c r="H830" s="281"/>
      <c r="I830" s="281"/>
      <c r="N830" s="281"/>
    </row>
    <row r="831" spans="8:14" ht="14.25" customHeight="1">
      <c r="H831" s="281"/>
      <c r="I831" s="281"/>
      <c r="N831" s="281"/>
    </row>
    <row r="832" spans="8:14" ht="14.25" customHeight="1">
      <c r="H832" s="281"/>
      <c r="I832" s="281"/>
      <c r="N832" s="281"/>
    </row>
    <row r="833" spans="8:14" ht="14.25" customHeight="1">
      <c r="H833" s="281"/>
      <c r="I833" s="281"/>
      <c r="N833" s="281"/>
    </row>
    <row r="834" spans="8:14" ht="14.25" customHeight="1">
      <c r="H834" s="281"/>
      <c r="I834" s="281"/>
      <c r="N834" s="281"/>
    </row>
    <row r="835" spans="8:14" ht="14.25" customHeight="1">
      <c r="H835" s="281"/>
      <c r="I835" s="281"/>
      <c r="N835" s="281"/>
    </row>
    <row r="836" spans="8:14" ht="14.25" customHeight="1">
      <c r="H836" s="281"/>
      <c r="I836" s="281"/>
      <c r="N836" s="281"/>
    </row>
    <row r="837" spans="8:14" ht="14.25" customHeight="1">
      <c r="H837" s="281"/>
      <c r="I837" s="281"/>
      <c r="N837" s="281"/>
    </row>
    <row r="838" spans="8:14" ht="14.25" customHeight="1">
      <c r="H838" s="281"/>
      <c r="I838" s="281"/>
      <c r="N838" s="281"/>
    </row>
    <row r="839" spans="8:14" ht="14.25" customHeight="1">
      <c r="H839" s="281"/>
      <c r="I839" s="281"/>
      <c r="N839" s="281"/>
    </row>
    <row r="840" spans="8:14" ht="14.25" customHeight="1">
      <c r="H840" s="281"/>
      <c r="I840" s="281"/>
      <c r="N840" s="281"/>
    </row>
    <row r="841" spans="8:14" ht="14.25" customHeight="1">
      <c r="H841" s="281"/>
      <c r="I841" s="281"/>
      <c r="N841" s="281"/>
    </row>
    <row r="842" spans="8:14" ht="14.25" customHeight="1">
      <c r="H842" s="281"/>
      <c r="I842" s="281"/>
      <c r="N842" s="281"/>
    </row>
    <row r="843" spans="8:14" ht="14.25" customHeight="1">
      <c r="H843" s="281"/>
      <c r="I843" s="281"/>
      <c r="N843" s="281"/>
    </row>
    <row r="844" spans="8:14" ht="14.25" customHeight="1">
      <c r="H844" s="281"/>
      <c r="I844" s="281"/>
      <c r="N844" s="281"/>
    </row>
    <row r="845" spans="8:14" ht="14.25" customHeight="1">
      <c r="H845" s="281"/>
      <c r="I845" s="281"/>
      <c r="N845" s="281"/>
    </row>
    <row r="846" spans="8:14" ht="14.25" customHeight="1">
      <c r="H846" s="281"/>
      <c r="I846" s="281"/>
      <c r="N846" s="281"/>
    </row>
    <row r="847" spans="8:14" ht="14.25" customHeight="1">
      <c r="H847" s="281"/>
      <c r="I847" s="281"/>
      <c r="N847" s="281"/>
    </row>
    <row r="848" spans="8:14" ht="14.25" customHeight="1">
      <c r="H848" s="281"/>
      <c r="I848" s="281"/>
      <c r="N848" s="281"/>
    </row>
    <row r="849" spans="8:14" ht="14.25" customHeight="1">
      <c r="H849" s="281"/>
      <c r="I849" s="281"/>
      <c r="N849" s="281"/>
    </row>
    <row r="850" spans="8:14" ht="14.25" customHeight="1">
      <c r="H850" s="281"/>
      <c r="I850" s="281"/>
      <c r="N850" s="281"/>
    </row>
    <row r="851" spans="8:14" ht="14.25" customHeight="1">
      <c r="H851" s="281"/>
      <c r="I851" s="281"/>
      <c r="N851" s="281"/>
    </row>
    <row r="852" spans="8:14" ht="14.25" customHeight="1">
      <c r="H852" s="281"/>
      <c r="I852" s="281"/>
      <c r="N852" s="281"/>
    </row>
    <row r="853" spans="8:14" ht="14.25" customHeight="1">
      <c r="H853" s="281"/>
      <c r="I853" s="281"/>
      <c r="N853" s="281"/>
    </row>
    <row r="854" spans="8:14" ht="14.25" customHeight="1">
      <c r="H854" s="281"/>
      <c r="I854" s="281"/>
      <c r="N854" s="281"/>
    </row>
    <row r="855" spans="8:14" ht="14.25" customHeight="1">
      <c r="H855" s="281"/>
      <c r="I855" s="281"/>
      <c r="N855" s="281"/>
    </row>
    <row r="856" spans="8:14" ht="14.25" customHeight="1">
      <c r="H856" s="281"/>
      <c r="I856" s="281"/>
      <c r="N856" s="281"/>
    </row>
    <row r="857" spans="8:14" ht="14.25" customHeight="1">
      <c r="H857" s="281"/>
      <c r="I857" s="281"/>
      <c r="N857" s="281"/>
    </row>
    <row r="858" spans="8:14" ht="14.25" customHeight="1">
      <c r="H858" s="281"/>
      <c r="I858" s="281"/>
      <c r="N858" s="281"/>
    </row>
    <row r="859" spans="8:14" ht="14.25" customHeight="1">
      <c r="H859" s="281"/>
      <c r="I859" s="281"/>
      <c r="N859" s="281"/>
    </row>
    <row r="860" spans="8:14" ht="14.25" customHeight="1">
      <c r="H860" s="281"/>
      <c r="I860" s="281"/>
      <c r="N860" s="281"/>
    </row>
    <row r="861" spans="8:14" ht="14.25" customHeight="1">
      <c r="H861" s="281"/>
      <c r="I861" s="281"/>
      <c r="N861" s="281"/>
    </row>
    <row r="862" spans="8:14" ht="14.25" customHeight="1">
      <c r="H862" s="281"/>
      <c r="I862" s="281"/>
      <c r="N862" s="281"/>
    </row>
    <row r="863" spans="8:14" ht="14.25" customHeight="1">
      <c r="H863" s="281"/>
      <c r="I863" s="281"/>
      <c r="N863" s="281"/>
    </row>
    <row r="864" spans="8:14" ht="14.25" customHeight="1">
      <c r="H864" s="281"/>
      <c r="I864" s="281"/>
      <c r="N864" s="281"/>
    </row>
    <row r="865" spans="8:14" ht="14.25" customHeight="1">
      <c r="H865" s="281"/>
      <c r="I865" s="281"/>
      <c r="N865" s="281"/>
    </row>
    <row r="866" spans="8:14" ht="14.25" customHeight="1">
      <c r="H866" s="281"/>
      <c r="I866" s="281"/>
      <c r="N866" s="281"/>
    </row>
    <row r="867" spans="8:14" ht="14.25" customHeight="1">
      <c r="H867" s="281"/>
      <c r="I867" s="281"/>
      <c r="N867" s="281"/>
    </row>
    <row r="868" spans="8:14" ht="14.25" customHeight="1">
      <c r="H868" s="281"/>
      <c r="I868" s="281"/>
      <c r="N868" s="281"/>
    </row>
    <row r="869" spans="8:14" ht="14.25" customHeight="1">
      <c r="H869" s="281"/>
      <c r="I869" s="281"/>
      <c r="N869" s="281"/>
    </row>
    <row r="870" spans="8:14" ht="14.25" customHeight="1">
      <c r="H870" s="281"/>
      <c r="I870" s="281"/>
      <c r="N870" s="281"/>
    </row>
    <row r="871" spans="8:14" ht="14.25" customHeight="1">
      <c r="H871" s="281"/>
      <c r="I871" s="281"/>
      <c r="N871" s="281"/>
    </row>
    <row r="872" spans="8:14" ht="14.25" customHeight="1">
      <c r="H872" s="281"/>
      <c r="I872" s="281"/>
      <c r="N872" s="281"/>
    </row>
    <row r="873" spans="8:14" ht="14.25" customHeight="1">
      <c r="H873" s="281"/>
      <c r="I873" s="281"/>
      <c r="N873" s="281"/>
    </row>
    <row r="874" spans="8:14" ht="14.25" customHeight="1">
      <c r="H874" s="281"/>
      <c r="I874" s="281"/>
      <c r="N874" s="281"/>
    </row>
    <row r="875" spans="8:14" ht="14.25" customHeight="1">
      <c r="H875" s="281"/>
      <c r="I875" s="281"/>
      <c r="N875" s="281"/>
    </row>
    <row r="876" spans="8:14" ht="14.25" customHeight="1">
      <c r="H876" s="281"/>
      <c r="I876" s="281"/>
      <c r="N876" s="281"/>
    </row>
    <row r="877" spans="8:14" ht="14.25" customHeight="1">
      <c r="H877" s="281"/>
      <c r="I877" s="281"/>
      <c r="N877" s="281"/>
    </row>
    <row r="878" spans="8:14" ht="14.25" customHeight="1">
      <c r="H878" s="281"/>
      <c r="I878" s="281"/>
      <c r="N878" s="281"/>
    </row>
    <row r="879" spans="8:14" ht="14.25" customHeight="1">
      <c r="H879" s="281"/>
      <c r="I879" s="281"/>
      <c r="N879" s="281"/>
    </row>
    <row r="880" spans="8:14" ht="14.25" customHeight="1">
      <c r="H880" s="281"/>
      <c r="I880" s="281"/>
      <c r="N880" s="281"/>
    </row>
    <row r="881" spans="8:14" ht="14.25" customHeight="1">
      <c r="H881" s="281"/>
      <c r="I881" s="281"/>
      <c r="N881" s="281"/>
    </row>
    <row r="882" spans="8:14" ht="14.25" customHeight="1">
      <c r="H882" s="281"/>
      <c r="I882" s="281"/>
      <c r="N882" s="281"/>
    </row>
    <row r="883" spans="8:14" ht="14.25" customHeight="1">
      <c r="H883" s="281"/>
      <c r="I883" s="281"/>
      <c r="N883" s="281"/>
    </row>
    <row r="884" spans="8:14" ht="14.25" customHeight="1">
      <c r="H884" s="281"/>
      <c r="I884" s="281"/>
      <c r="N884" s="281"/>
    </row>
    <row r="885" spans="8:14" ht="14.25" customHeight="1">
      <c r="H885" s="281"/>
      <c r="I885" s="281"/>
      <c r="N885" s="281"/>
    </row>
    <row r="886" spans="8:14" ht="14.25" customHeight="1">
      <c r="H886" s="281"/>
      <c r="I886" s="281"/>
      <c r="N886" s="281"/>
    </row>
    <row r="887" spans="8:14" ht="14.25" customHeight="1">
      <c r="H887" s="281"/>
      <c r="I887" s="281"/>
      <c r="N887" s="281"/>
    </row>
    <row r="888" spans="8:14" ht="14.25" customHeight="1">
      <c r="H888" s="281"/>
      <c r="I888" s="281"/>
      <c r="N888" s="281"/>
    </row>
    <row r="889" spans="8:14" ht="14.25" customHeight="1">
      <c r="H889" s="281"/>
      <c r="I889" s="281"/>
      <c r="N889" s="281"/>
    </row>
    <row r="890" spans="8:14" ht="14.25" customHeight="1">
      <c r="H890" s="281"/>
      <c r="I890" s="281"/>
      <c r="N890" s="281"/>
    </row>
    <row r="891" spans="8:14" ht="14.25" customHeight="1">
      <c r="H891" s="281"/>
      <c r="I891" s="281"/>
      <c r="N891" s="281"/>
    </row>
    <row r="892" spans="8:14" ht="14.25" customHeight="1">
      <c r="H892" s="281"/>
      <c r="I892" s="281"/>
      <c r="N892" s="281"/>
    </row>
    <row r="893" spans="8:14" ht="14.25" customHeight="1">
      <c r="H893" s="281"/>
      <c r="I893" s="281"/>
      <c r="N893" s="281"/>
    </row>
    <row r="894" spans="8:14" ht="14.25" customHeight="1">
      <c r="H894" s="281"/>
      <c r="I894" s="281"/>
      <c r="N894" s="281"/>
    </row>
    <row r="895" spans="8:14" ht="14.25" customHeight="1">
      <c r="H895" s="281"/>
      <c r="I895" s="281"/>
      <c r="N895" s="281"/>
    </row>
    <row r="896" spans="8:14" ht="14.25" customHeight="1">
      <c r="H896" s="281"/>
      <c r="I896" s="281"/>
      <c r="N896" s="281"/>
    </row>
    <row r="897" spans="8:14" ht="14.25" customHeight="1">
      <c r="H897" s="281"/>
      <c r="I897" s="281"/>
      <c r="N897" s="281"/>
    </row>
    <row r="898" spans="8:14" ht="14.25" customHeight="1">
      <c r="H898" s="281"/>
      <c r="I898" s="281"/>
      <c r="N898" s="281"/>
    </row>
    <row r="899" spans="8:14" ht="14.25" customHeight="1">
      <c r="H899" s="281"/>
      <c r="I899" s="281"/>
      <c r="N899" s="281"/>
    </row>
    <row r="900" spans="8:14" ht="14.25" customHeight="1">
      <c r="H900" s="281"/>
      <c r="I900" s="281"/>
      <c r="N900" s="281"/>
    </row>
    <row r="901" spans="8:14" ht="14.25" customHeight="1">
      <c r="H901" s="281"/>
      <c r="I901" s="281"/>
      <c r="N901" s="281"/>
    </row>
    <row r="902" spans="8:14" ht="14.25" customHeight="1">
      <c r="H902" s="281"/>
      <c r="I902" s="281"/>
      <c r="N902" s="281"/>
    </row>
    <row r="903" spans="8:14" ht="14.25" customHeight="1">
      <c r="H903" s="281"/>
      <c r="I903" s="281"/>
      <c r="N903" s="281"/>
    </row>
    <row r="904" spans="8:14" ht="14.25" customHeight="1">
      <c r="H904" s="281"/>
      <c r="I904" s="281"/>
      <c r="N904" s="281"/>
    </row>
    <row r="905" spans="8:14" ht="14.25" customHeight="1">
      <c r="H905" s="281"/>
      <c r="I905" s="281"/>
      <c r="N905" s="281"/>
    </row>
    <row r="906" spans="8:14" ht="14.25" customHeight="1">
      <c r="H906" s="281"/>
      <c r="I906" s="281"/>
      <c r="N906" s="281"/>
    </row>
    <row r="907" spans="8:14" ht="14.25" customHeight="1">
      <c r="H907" s="281"/>
      <c r="I907" s="281"/>
      <c r="N907" s="281"/>
    </row>
    <row r="908" spans="8:14" ht="14.25" customHeight="1">
      <c r="H908" s="281"/>
      <c r="I908" s="281"/>
      <c r="N908" s="281"/>
    </row>
    <row r="909" spans="8:14" ht="14.25" customHeight="1">
      <c r="H909" s="281"/>
      <c r="I909" s="281"/>
      <c r="N909" s="281"/>
    </row>
    <row r="910" spans="8:14" ht="14.25" customHeight="1">
      <c r="H910" s="281"/>
      <c r="I910" s="281"/>
      <c r="N910" s="281"/>
    </row>
    <row r="911" spans="8:14" ht="14.25" customHeight="1">
      <c r="H911" s="281"/>
      <c r="I911" s="281"/>
      <c r="N911" s="281"/>
    </row>
    <row r="912" spans="8:14" ht="14.25" customHeight="1">
      <c r="H912" s="281"/>
      <c r="I912" s="281"/>
      <c r="N912" s="281"/>
    </row>
    <row r="913" spans="8:14" ht="14.25" customHeight="1">
      <c r="H913" s="281"/>
      <c r="I913" s="281"/>
      <c r="N913" s="281"/>
    </row>
    <row r="914" spans="8:14" ht="14.25" customHeight="1">
      <c r="H914" s="281"/>
      <c r="I914" s="281"/>
      <c r="N914" s="281"/>
    </row>
    <row r="915" spans="8:14" ht="14.25" customHeight="1">
      <c r="H915" s="281"/>
      <c r="I915" s="281"/>
      <c r="N915" s="281"/>
    </row>
    <row r="916" spans="8:14" ht="14.25" customHeight="1">
      <c r="H916" s="281"/>
      <c r="I916" s="281"/>
      <c r="N916" s="281"/>
    </row>
    <row r="917" spans="8:14" ht="14.25" customHeight="1">
      <c r="H917" s="281"/>
      <c r="I917" s="281"/>
      <c r="N917" s="281"/>
    </row>
    <row r="918" spans="8:14" ht="14.25" customHeight="1">
      <c r="H918" s="281"/>
      <c r="I918" s="281"/>
      <c r="N918" s="281"/>
    </row>
    <row r="919" spans="8:14" ht="14.25" customHeight="1">
      <c r="H919" s="281"/>
      <c r="I919" s="281"/>
      <c r="N919" s="281"/>
    </row>
    <row r="920" spans="8:14" ht="14.25" customHeight="1">
      <c r="H920" s="281"/>
      <c r="I920" s="281"/>
      <c r="N920" s="281"/>
    </row>
    <row r="921" spans="8:14" ht="14.25" customHeight="1">
      <c r="H921" s="281"/>
      <c r="I921" s="281"/>
      <c r="N921" s="281"/>
    </row>
    <row r="922" spans="8:14" ht="14.25" customHeight="1">
      <c r="H922" s="281"/>
      <c r="I922" s="281"/>
      <c r="N922" s="281"/>
    </row>
    <row r="923" spans="8:14" ht="14.25" customHeight="1">
      <c r="H923" s="281"/>
      <c r="I923" s="281"/>
      <c r="N923" s="281"/>
    </row>
    <row r="924" spans="8:14" ht="14.25" customHeight="1">
      <c r="H924" s="281"/>
      <c r="I924" s="281"/>
      <c r="N924" s="281"/>
    </row>
    <row r="925" spans="8:14" ht="14.25" customHeight="1">
      <c r="H925" s="281"/>
      <c r="I925" s="281"/>
      <c r="N925" s="281"/>
    </row>
    <row r="926" spans="8:14" ht="14.25" customHeight="1">
      <c r="H926" s="281"/>
      <c r="I926" s="281"/>
      <c r="N926" s="281"/>
    </row>
    <row r="927" spans="8:14" ht="14.25" customHeight="1">
      <c r="H927" s="281"/>
      <c r="I927" s="281"/>
      <c r="N927" s="281"/>
    </row>
    <row r="928" spans="8:14" ht="14.25" customHeight="1">
      <c r="H928" s="281"/>
      <c r="I928" s="281"/>
      <c r="N928" s="281"/>
    </row>
    <row r="929" spans="8:14" ht="14.25" customHeight="1">
      <c r="H929" s="281"/>
      <c r="I929" s="281"/>
      <c r="N929" s="281"/>
    </row>
    <row r="930" spans="8:14" ht="14.25" customHeight="1">
      <c r="H930" s="281"/>
      <c r="I930" s="281"/>
      <c r="N930" s="281"/>
    </row>
    <row r="931" spans="8:14" ht="14.25" customHeight="1">
      <c r="H931" s="281"/>
      <c r="I931" s="281"/>
      <c r="N931" s="281"/>
    </row>
    <row r="932" spans="8:14" ht="14.25" customHeight="1">
      <c r="H932" s="281"/>
      <c r="I932" s="281"/>
      <c r="N932" s="281"/>
    </row>
    <row r="933" spans="8:14" ht="14.25" customHeight="1">
      <c r="H933" s="281"/>
      <c r="I933" s="281"/>
      <c r="N933" s="281"/>
    </row>
    <row r="934" spans="8:14" ht="14.25" customHeight="1">
      <c r="H934" s="281"/>
      <c r="I934" s="281"/>
      <c r="N934" s="281"/>
    </row>
    <row r="935" spans="8:14" ht="14.25" customHeight="1">
      <c r="H935" s="281"/>
      <c r="I935" s="281"/>
      <c r="N935" s="281"/>
    </row>
    <row r="936" spans="8:14" ht="14.25" customHeight="1">
      <c r="H936" s="281"/>
      <c r="I936" s="281"/>
      <c r="N936" s="281"/>
    </row>
    <row r="937" spans="8:14" ht="14.25" customHeight="1">
      <c r="H937" s="281"/>
      <c r="I937" s="281"/>
      <c r="N937" s="281"/>
    </row>
    <row r="938" spans="8:14" ht="14.25" customHeight="1">
      <c r="H938" s="281"/>
      <c r="I938" s="281"/>
      <c r="N938" s="281"/>
    </row>
    <row r="939" spans="8:14" ht="14.25" customHeight="1">
      <c r="H939" s="281"/>
      <c r="I939" s="281"/>
      <c r="N939" s="281"/>
    </row>
    <row r="940" spans="8:14" ht="14.25" customHeight="1">
      <c r="H940" s="281"/>
      <c r="I940" s="281"/>
      <c r="N940" s="281"/>
    </row>
    <row r="941" spans="8:14" ht="14.25" customHeight="1">
      <c r="H941" s="281"/>
      <c r="I941" s="281"/>
      <c r="N941" s="281"/>
    </row>
    <row r="942" spans="8:14" ht="14.25" customHeight="1">
      <c r="H942" s="281"/>
      <c r="I942" s="281"/>
      <c r="N942" s="281"/>
    </row>
    <row r="943" spans="8:14" ht="14.25" customHeight="1">
      <c r="H943" s="281"/>
      <c r="I943" s="281"/>
      <c r="N943" s="281"/>
    </row>
    <row r="944" spans="8:14" ht="14.25" customHeight="1">
      <c r="H944" s="281"/>
      <c r="I944" s="281"/>
      <c r="N944" s="281"/>
    </row>
    <row r="945" spans="8:14" ht="14.25" customHeight="1">
      <c r="H945" s="281"/>
      <c r="I945" s="281"/>
      <c r="N945" s="281"/>
    </row>
    <row r="946" spans="8:14" ht="14.25" customHeight="1">
      <c r="H946" s="281"/>
      <c r="I946" s="281"/>
      <c r="N946" s="281"/>
    </row>
    <row r="947" spans="8:14" ht="14.25" customHeight="1">
      <c r="H947" s="281"/>
      <c r="I947" s="281"/>
      <c r="N947" s="281"/>
    </row>
    <row r="948" spans="8:14" ht="14.25" customHeight="1">
      <c r="H948" s="281"/>
      <c r="I948" s="281"/>
      <c r="N948" s="281"/>
    </row>
    <row r="949" spans="8:14" ht="14.25" customHeight="1">
      <c r="H949" s="281"/>
      <c r="I949" s="281"/>
      <c r="N949" s="281"/>
    </row>
    <row r="950" spans="8:14" ht="14.25" customHeight="1">
      <c r="H950" s="281"/>
      <c r="I950" s="281"/>
      <c r="N950" s="281"/>
    </row>
    <row r="951" spans="8:14" ht="14.25" customHeight="1">
      <c r="H951" s="281"/>
      <c r="I951" s="281"/>
      <c r="N951" s="281"/>
    </row>
    <row r="952" spans="8:14" ht="14.25" customHeight="1">
      <c r="H952" s="281"/>
      <c r="I952" s="281"/>
      <c r="N952" s="281"/>
    </row>
    <row r="953" spans="8:14" ht="14.25" customHeight="1">
      <c r="H953" s="281"/>
      <c r="I953" s="281"/>
      <c r="N953" s="281"/>
    </row>
    <row r="954" spans="8:14" ht="14.25" customHeight="1">
      <c r="H954" s="281"/>
      <c r="I954" s="281"/>
      <c r="N954" s="281"/>
    </row>
    <row r="955" spans="8:14" ht="14.25" customHeight="1">
      <c r="H955" s="281"/>
      <c r="I955" s="281"/>
      <c r="N955" s="281"/>
    </row>
    <row r="956" spans="8:14" ht="14.25" customHeight="1">
      <c r="H956" s="281"/>
      <c r="I956" s="281"/>
      <c r="N956" s="281"/>
    </row>
    <row r="957" spans="8:14" ht="14.25" customHeight="1">
      <c r="H957" s="281"/>
      <c r="I957" s="281"/>
      <c r="N957" s="281"/>
    </row>
    <row r="958" spans="8:14" ht="14.25" customHeight="1">
      <c r="H958" s="281"/>
      <c r="I958" s="281"/>
      <c r="N958" s="281"/>
    </row>
    <row r="959" spans="8:14" ht="14.25" customHeight="1">
      <c r="H959" s="281"/>
      <c r="I959" s="281"/>
      <c r="N959" s="281"/>
    </row>
    <row r="960" spans="8:14" ht="14.25" customHeight="1">
      <c r="H960" s="281"/>
      <c r="I960" s="281"/>
      <c r="N960" s="281"/>
    </row>
    <row r="961" spans="8:14" ht="14.25" customHeight="1">
      <c r="H961" s="281"/>
      <c r="I961" s="281"/>
      <c r="N961" s="281"/>
    </row>
    <row r="962" spans="8:14" ht="14.25" customHeight="1">
      <c r="H962" s="281"/>
      <c r="I962" s="281"/>
      <c r="N962" s="281"/>
    </row>
    <row r="963" spans="8:14" ht="14.25" customHeight="1">
      <c r="H963" s="281"/>
      <c r="I963" s="281"/>
      <c r="N963" s="281"/>
    </row>
    <row r="964" spans="8:14" ht="14.25" customHeight="1">
      <c r="H964" s="281"/>
      <c r="I964" s="281"/>
      <c r="N964" s="281"/>
    </row>
    <row r="965" spans="8:14" ht="14.25" customHeight="1">
      <c r="H965" s="281"/>
      <c r="I965" s="281"/>
      <c r="N965" s="281"/>
    </row>
    <row r="966" spans="8:14" ht="14.25" customHeight="1">
      <c r="H966" s="281"/>
      <c r="I966" s="281"/>
      <c r="N966" s="281"/>
    </row>
    <row r="967" spans="8:14" ht="14.25" customHeight="1">
      <c r="H967" s="281"/>
      <c r="I967" s="281"/>
      <c r="N967" s="281"/>
    </row>
    <row r="968" spans="8:14" ht="14.25" customHeight="1">
      <c r="H968" s="281"/>
      <c r="I968" s="281"/>
      <c r="N968" s="281"/>
    </row>
    <row r="969" spans="8:14" ht="14.25" customHeight="1">
      <c r="H969" s="281"/>
      <c r="I969" s="281"/>
      <c r="N969" s="281"/>
    </row>
    <row r="970" spans="8:14" ht="14.25" customHeight="1">
      <c r="H970" s="281"/>
      <c r="I970" s="281"/>
      <c r="N970" s="281"/>
    </row>
    <row r="971" spans="8:14" ht="14.25" customHeight="1">
      <c r="H971" s="281"/>
      <c r="I971" s="281"/>
      <c r="N971" s="281"/>
    </row>
    <row r="972" spans="8:14" ht="14.25" customHeight="1">
      <c r="H972" s="281"/>
      <c r="I972" s="281"/>
      <c r="N972" s="281"/>
    </row>
    <row r="973" spans="8:14" ht="14.25" customHeight="1">
      <c r="H973" s="281"/>
      <c r="I973" s="281"/>
      <c r="N973" s="281"/>
    </row>
    <row r="974" spans="8:14" ht="14.25" customHeight="1">
      <c r="H974" s="281"/>
      <c r="I974" s="281"/>
      <c r="N974" s="281"/>
    </row>
    <row r="975" spans="8:14" ht="14.25" customHeight="1">
      <c r="H975" s="281"/>
      <c r="I975" s="281"/>
      <c r="N975" s="281"/>
    </row>
    <row r="976" spans="8:14" ht="14.25" customHeight="1">
      <c r="H976" s="281"/>
      <c r="I976" s="281"/>
      <c r="N976" s="281"/>
    </row>
    <row r="977" spans="8:14" ht="14.25" customHeight="1">
      <c r="H977" s="281"/>
      <c r="I977" s="281"/>
      <c r="N977" s="281"/>
    </row>
    <row r="978" spans="8:14" ht="14.25" customHeight="1">
      <c r="H978" s="281"/>
      <c r="I978" s="281"/>
      <c r="N978" s="281"/>
    </row>
    <row r="979" spans="8:14" ht="14.25" customHeight="1">
      <c r="H979" s="281"/>
      <c r="I979" s="281"/>
      <c r="N979" s="281"/>
    </row>
    <row r="980" spans="8:14" ht="14.25" customHeight="1">
      <c r="H980" s="281"/>
      <c r="I980" s="281"/>
      <c r="N980" s="281"/>
    </row>
    <row r="981" spans="8:14" ht="14.25" customHeight="1">
      <c r="H981" s="281"/>
      <c r="I981" s="281"/>
      <c r="N981" s="281"/>
    </row>
    <row r="982" spans="8:14" ht="14.25" customHeight="1">
      <c r="H982" s="281"/>
      <c r="I982" s="281"/>
      <c r="N982" s="281"/>
    </row>
    <row r="983" spans="8:14" ht="14.25" customHeight="1">
      <c r="H983" s="281"/>
      <c r="I983" s="281"/>
      <c r="N983" s="281"/>
    </row>
    <row r="984" spans="8:14" ht="14.25" customHeight="1">
      <c r="H984" s="281"/>
      <c r="I984" s="281"/>
      <c r="N984" s="281"/>
    </row>
    <row r="985" spans="8:14" ht="14.25" customHeight="1">
      <c r="H985" s="281"/>
      <c r="I985" s="281"/>
      <c r="N985" s="281"/>
    </row>
    <row r="986" spans="8:14" ht="14.25" customHeight="1">
      <c r="H986" s="281"/>
      <c r="I986" s="281"/>
      <c r="N986" s="281"/>
    </row>
    <row r="987" spans="8:14" ht="14.25" customHeight="1">
      <c r="H987" s="281"/>
      <c r="I987" s="281"/>
      <c r="N987" s="281"/>
    </row>
    <row r="988" spans="8:14" ht="14.25" customHeight="1">
      <c r="H988" s="281"/>
      <c r="I988" s="281"/>
      <c r="N988" s="281"/>
    </row>
    <row r="989" spans="8:14" ht="14.25" customHeight="1">
      <c r="H989" s="281"/>
      <c r="I989" s="281"/>
      <c r="N989" s="281"/>
    </row>
    <row r="990" spans="8:14" ht="14.25" customHeight="1">
      <c r="H990" s="281"/>
      <c r="I990" s="281"/>
      <c r="N990" s="281"/>
    </row>
    <row r="991" spans="8:14" ht="14.25" customHeight="1">
      <c r="H991" s="281"/>
      <c r="I991" s="281"/>
      <c r="N991" s="281"/>
    </row>
    <row r="992" spans="8:14" ht="14.25" customHeight="1">
      <c r="H992" s="281"/>
      <c r="I992" s="281"/>
      <c r="N992" s="281"/>
    </row>
    <row r="993" spans="8:14" ht="14.25" customHeight="1">
      <c r="H993" s="281"/>
      <c r="I993" s="281"/>
      <c r="N993" s="281"/>
    </row>
    <row r="994" spans="8:14" ht="14.25" customHeight="1">
      <c r="H994" s="281"/>
      <c r="I994" s="281"/>
      <c r="N994" s="281"/>
    </row>
    <row r="995" spans="8:14" ht="14.25" customHeight="1">
      <c r="H995" s="281"/>
      <c r="I995" s="281"/>
      <c r="N995" s="281"/>
    </row>
    <row r="996" spans="8:14" ht="14.25" customHeight="1">
      <c r="H996" s="281"/>
      <c r="I996" s="281"/>
      <c r="N996" s="281"/>
    </row>
    <row r="997" spans="8:14" ht="14.25" customHeight="1">
      <c r="H997" s="281"/>
      <c r="I997" s="281"/>
      <c r="N997" s="281"/>
    </row>
    <row r="998" spans="8:14" ht="14.25" customHeight="1">
      <c r="H998" s="281"/>
      <c r="I998" s="281"/>
      <c r="N998" s="281"/>
    </row>
    <row r="999" spans="8:14" ht="14.25" customHeight="1">
      <c r="H999" s="281"/>
      <c r="I999" s="281"/>
      <c r="N999" s="281"/>
    </row>
    <row r="1000" spans="8:14" ht="14.25" customHeight="1">
      <c r="H1000" s="281"/>
      <c r="I1000" s="281"/>
      <c r="N1000" s="281"/>
    </row>
  </sheetData>
  <mergeCells count="2">
    <mergeCell ref="B1:W1"/>
    <mergeCell ref="B7:W7"/>
  </mergeCells>
  <phoneticPr fontId="26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0"/>
  <sheetViews>
    <sheetView workbookViewId="0"/>
  </sheetViews>
  <sheetFormatPr baseColWidth="10" defaultColWidth="14.5" defaultRowHeight="15" customHeight="1"/>
  <cols>
    <col min="1" max="1" width="3.5" customWidth="1"/>
    <col min="2" max="2" width="11.6640625" customWidth="1"/>
    <col min="3" max="3" width="14.83203125" customWidth="1"/>
    <col min="4" max="4" width="33.6640625" customWidth="1"/>
    <col min="5" max="5" width="7.6640625" customWidth="1"/>
    <col min="6" max="7" width="8.6640625" customWidth="1"/>
    <col min="8" max="9" width="8.83203125" customWidth="1"/>
    <col min="10" max="13" width="8.6640625" customWidth="1"/>
    <col min="14" max="14" width="8.83203125" customWidth="1"/>
    <col min="15" max="26" width="8.6640625" customWidth="1"/>
  </cols>
  <sheetData>
    <row r="1" spans="1:23" ht="23.25" customHeight="1">
      <c r="B1" s="333" t="s">
        <v>379</v>
      </c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</row>
    <row r="2" spans="1:23" ht="14.25" customHeight="1">
      <c r="B2" s="282" t="s">
        <v>380</v>
      </c>
      <c r="C2" s="283">
        <v>5000</v>
      </c>
      <c r="D2" s="236"/>
      <c r="E2" s="237" t="s">
        <v>16</v>
      </c>
      <c r="F2" s="238" t="s">
        <v>26</v>
      </c>
      <c r="G2" s="238" t="s">
        <v>21</v>
      </c>
      <c r="H2" s="238" t="s">
        <v>244</v>
      </c>
      <c r="I2" s="237" t="s">
        <v>245</v>
      </c>
      <c r="J2" s="238" t="s">
        <v>246</v>
      </c>
      <c r="K2" s="238" t="s">
        <v>247</v>
      </c>
      <c r="L2" s="238" t="s">
        <v>248</v>
      </c>
      <c r="M2" s="238" t="s">
        <v>249</v>
      </c>
      <c r="N2" s="237" t="s">
        <v>250</v>
      </c>
      <c r="O2" s="239" t="s">
        <v>125</v>
      </c>
      <c r="P2" s="239" t="s">
        <v>251</v>
      </c>
      <c r="Q2" s="239" t="s">
        <v>252</v>
      </c>
      <c r="R2" s="239" t="s">
        <v>253</v>
      </c>
      <c r="S2" s="239" t="s">
        <v>254</v>
      </c>
      <c r="T2" s="240"/>
      <c r="U2" s="241"/>
      <c r="V2" s="241"/>
      <c r="W2" s="241"/>
    </row>
    <row r="3" spans="1:23" ht="14.25" customHeight="1">
      <c r="B3" s="282" t="s">
        <v>381</v>
      </c>
      <c r="C3" s="283">
        <v>4276</v>
      </c>
      <c r="D3" s="284">
        <f>C2-C3</f>
        <v>724</v>
      </c>
      <c r="E3" s="244" t="s">
        <v>255</v>
      </c>
      <c r="F3" s="245">
        <f>E9+E17+E18+E20+E21+E22+E23+E27+E29+E30</f>
        <v>2678</v>
      </c>
      <c r="G3" s="245">
        <f>E10+E28</f>
        <v>783</v>
      </c>
      <c r="H3" s="246">
        <v>0</v>
      </c>
      <c r="I3" s="247">
        <f>E26+E31</f>
        <v>72</v>
      </c>
      <c r="J3" s="245">
        <f>E24</f>
        <v>40</v>
      </c>
      <c r="K3" s="245">
        <v>0</v>
      </c>
      <c r="L3" s="245">
        <v>0</v>
      </c>
      <c r="M3" s="245"/>
      <c r="N3" s="247">
        <v>0</v>
      </c>
      <c r="O3" s="245">
        <v>0</v>
      </c>
      <c r="P3" s="245">
        <f>E14+E32</f>
        <v>83</v>
      </c>
      <c r="Q3" s="245">
        <v>0</v>
      </c>
      <c r="R3" s="245">
        <f>E12+E13+E15+E16+E19+E25</f>
        <v>420</v>
      </c>
      <c r="S3" s="245">
        <f>E11</f>
        <v>200</v>
      </c>
      <c r="T3" s="240"/>
      <c r="U3" s="241"/>
      <c r="V3" s="241"/>
      <c r="W3" s="241"/>
    </row>
    <row r="4" spans="1:23" ht="14.25" customHeight="1">
      <c r="B4" s="285" t="s">
        <v>382</v>
      </c>
      <c r="C4" s="286">
        <f>C3/C2</f>
        <v>0.85519999999999996</v>
      </c>
      <c r="D4" s="243"/>
      <c r="E4" s="244" t="s">
        <v>256</v>
      </c>
      <c r="F4" s="248">
        <f t="shared" ref="F4:S4" si="0">F3/7512</f>
        <v>0.35649627263045791</v>
      </c>
      <c r="G4" s="248">
        <f t="shared" si="0"/>
        <v>0.1042332268370607</v>
      </c>
      <c r="H4" s="249">
        <f t="shared" si="0"/>
        <v>0</v>
      </c>
      <c r="I4" s="250">
        <f t="shared" si="0"/>
        <v>9.5846645367412137E-3</v>
      </c>
      <c r="J4" s="248">
        <f t="shared" si="0"/>
        <v>5.3248136315228968E-3</v>
      </c>
      <c r="K4" s="248">
        <f t="shared" si="0"/>
        <v>0</v>
      </c>
      <c r="L4" s="248">
        <f t="shared" si="0"/>
        <v>0</v>
      </c>
      <c r="M4" s="248">
        <f t="shared" si="0"/>
        <v>0</v>
      </c>
      <c r="N4" s="250">
        <f t="shared" si="0"/>
        <v>0</v>
      </c>
      <c r="O4" s="248">
        <f t="shared" si="0"/>
        <v>0</v>
      </c>
      <c r="P4" s="248">
        <f t="shared" si="0"/>
        <v>1.1048988285410011E-2</v>
      </c>
      <c r="Q4" s="248">
        <f t="shared" si="0"/>
        <v>0</v>
      </c>
      <c r="R4" s="248">
        <f t="shared" si="0"/>
        <v>5.5910543130990413E-2</v>
      </c>
      <c r="S4" s="248">
        <f t="shared" si="0"/>
        <v>2.6624068157614485E-2</v>
      </c>
      <c r="T4" s="240"/>
      <c r="U4" s="241"/>
      <c r="V4" s="241"/>
      <c r="W4" s="241"/>
    </row>
    <row r="5" spans="1:23" ht="14.25" customHeight="1">
      <c r="B5" s="282" t="s">
        <v>383</v>
      </c>
      <c r="C5" s="283">
        <v>500</v>
      </c>
      <c r="E5" s="244" t="s">
        <v>257</v>
      </c>
      <c r="F5" s="245"/>
      <c r="G5" s="245"/>
      <c r="H5" s="246"/>
      <c r="I5" s="247"/>
      <c r="J5" s="245"/>
      <c r="K5" s="245"/>
      <c r="L5" s="245"/>
      <c r="M5" s="245"/>
      <c r="N5" s="247"/>
      <c r="O5" s="245"/>
      <c r="P5" s="245"/>
      <c r="Q5" s="245"/>
      <c r="R5" s="245"/>
      <c r="S5" s="245"/>
      <c r="T5" s="240"/>
      <c r="U5" s="241"/>
      <c r="V5" s="241"/>
      <c r="W5" s="241"/>
    </row>
    <row r="6" spans="1:23" ht="14.25" customHeight="1">
      <c r="B6" s="282" t="s">
        <v>14</v>
      </c>
      <c r="C6" s="284">
        <f>E11+E12+E13+E14+E15+E16+E19+E25+E32</f>
        <v>703</v>
      </c>
      <c r="D6" s="287">
        <f>C5-C6</f>
        <v>-203</v>
      </c>
      <c r="E6" s="252"/>
      <c r="F6" s="253"/>
      <c r="G6" s="253"/>
      <c r="H6" s="254"/>
      <c r="I6" s="255"/>
      <c r="J6" s="253"/>
      <c r="K6" s="253"/>
      <c r="L6" s="253"/>
      <c r="M6" s="253"/>
      <c r="N6" s="255"/>
      <c r="O6" s="253"/>
      <c r="P6" s="253"/>
      <c r="Q6" s="253"/>
      <c r="R6" s="253"/>
      <c r="S6" s="253"/>
      <c r="T6" s="241"/>
      <c r="U6" s="241"/>
      <c r="V6" s="241"/>
      <c r="W6" s="241"/>
    </row>
    <row r="7" spans="1:23" ht="14.25" customHeight="1">
      <c r="B7" s="282" t="s">
        <v>384</v>
      </c>
      <c r="C7" s="288">
        <f>C6/C5</f>
        <v>1.4059999999999999</v>
      </c>
      <c r="D7" s="258"/>
      <c r="E7" s="259"/>
      <c r="F7" s="260"/>
      <c r="G7" s="260"/>
      <c r="H7" s="261"/>
      <c r="I7" s="262"/>
      <c r="J7" s="260"/>
      <c r="K7" s="260"/>
      <c r="L7" s="260"/>
      <c r="M7" s="260"/>
      <c r="N7" s="262"/>
      <c r="O7" s="260"/>
      <c r="P7" s="260"/>
      <c r="Q7" s="260"/>
      <c r="R7" s="260"/>
      <c r="S7" s="260"/>
      <c r="T7" s="260"/>
      <c r="U7" s="260"/>
      <c r="V7" s="260"/>
      <c r="W7" s="260"/>
    </row>
    <row r="8" spans="1:23" ht="14.25" customHeight="1">
      <c r="B8" s="10" t="s">
        <v>15</v>
      </c>
      <c r="C8" s="289" t="s">
        <v>16</v>
      </c>
      <c r="D8" s="12" t="s">
        <v>259</v>
      </c>
      <c r="E8" s="263" t="s">
        <v>260</v>
      </c>
      <c r="F8" s="264" t="s">
        <v>261</v>
      </c>
      <c r="G8" s="264" t="s">
        <v>262</v>
      </c>
      <c r="H8" s="264" t="s">
        <v>263</v>
      </c>
      <c r="I8" s="263" t="s">
        <v>264</v>
      </c>
      <c r="J8" s="264" t="s">
        <v>265</v>
      </c>
      <c r="K8" s="264" t="s">
        <v>266</v>
      </c>
      <c r="L8" s="264" t="s">
        <v>267</v>
      </c>
      <c r="M8" s="264" t="s">
        <v>268</v>
      </c>
      <c r="N8" s="265" t="s">
        <v>269</v>
      </c>
      <c r="O8" s="266" t="s">
        <v>270</v>
      </c>
      <c r="P8" s="266" t="s">
        <v>271</v>
      </c>
      <c r="Q8" s="266" t="s">
        <v>272</v>
      </c>
      <c r="R8" s="266" t="s">
        <v>273</v>
      </c>
      <c r="S8" s="266" t="s">
        <v>274</v>
      </c>
      <c r="T8" s="266" t="s">
        <v>275</v>
      </c>
      <c r="U8" s="266" t="s">
        <v>276</v>
      </c>
      <c r="V8" s="266" t="s">
        <v>277</v>
      </c>
      <c r="W8" s="267" t="s">
        <v>278</v>
      </c>
    </row>
    <row r="9" spans="1:23" ht="14.25" customHeight="1">
      <c r="A9" s="290">
        <v>1</v>
      </c>
      <c r="B9" s="291">
        <v>43622</v>
      </c>
      <c r="C9" s="39" t="s">
        <v>26</v>
      </c>
      <c r="D9" s="292" t="s">
        <v>385</v>
      </c>
      <c r="E9" s="218">
        <f t="shared" ref="E9:E36" si="1">SUM(F9:W9)</f>
        <v>200</v>
      </c>
      <c r="F9" s="220"/>
      <c r="G9" s="220"/>
      <c r="H9" s="220"/>
      <c r="I9" s="293">
        <v>200</v>
      </c>
      <c r="J9" s="220"/>
      <c r="K9" s="220"/>
      <c r="L9" s="220"/>
      <c r="M9" s="220"/>
      <c r="N9" s="220"/>
    </row>
    <row r="10" spans="1:23" ht="14.25" customHeight="1">
      <c r="A10" s="290">
        <v>2</v>
      </c>
      <c r="B10" s="291">
        <v>43631</v>
      </c>
      <c r="C10" s="269" t="s">
        <v>21</v>
      </c>
      <c r="D10" s="40" t="s">
        <v>386</v>
      </c>
      <c r="E10" s="218">
        <f t="shared" si="1"/>
        <v>335</v>
      </c>
      <c r="F10" s="246"/>
      <c r="G10" s="246"/>
      <c r="H10" s="246"/>
      <c r="I10" s="247">
        <v>335</v>
      </c>
      <c r="J10" s="246"/>
      <c r="K10" s="246"/>
      <c r="L10" s="246"/>
      <c r="M10" s="246"/>
      <c r="N10" s="247"/>
      <c r="O10" s="246"/>
      <c r="P10" s="246"/>
      <c r="Q10" s="246"/>
      <c r="R10" s="246"/>
      <c r="S10" s="246"/>
      <c r="T10" s="246"/>
      <c r="U10" s="246"/>
      <c r="V10" s="246"/>
      <c r="W10" s="270"/>
    </row>
    <row r="11" spans="1:23" ht="14.25" customHeight="1">
      <c r="A11" s="290">
        <v>3</v>
      </c>
      <c r="B11" s="291">
        <v>43635</v>
      </c>
      <c r="C11" s="272" t="s">
        <v>387</v>
      </c>
      <c r="D11" s="273" t="s">
        <v>388</v>
      </c>
      <c r="E11" s="218">
        <f t="shared" si="1"/>
        <v>200</v>
      </c>
      <c r="F11" s="246"/>
      <c r="G11" s="246"/>
      <c r="H11" s="246"/>
      <c r="I11" s="247"/>
      <c r="J11" s="246"/>
      <c r="K11" s="246"/>
      <c r="L11" s="246"/>
      <c r="M11" s="246"/>
      <c r="N11" s="247">
        <v>200</v>
      </c>
      <c r="O11" s="246"/>
      <c r="P11" s="246"/>
      <c r="Q11" s="246"/>
      <c r="R11" s="246"/>
      <c r="S11" s="246"/>
      <c r="T11" s="246"/>
      <c r="U11" s="246"/>
      <c r="V11" s="246"/>
      <c r="W11" s="270"/>
    </row>
    <row r="12" spans="1:23" ht="14.25" customHeight="1">
      <c r="A12" s="290">
        <v>4</v>
      </c>
      <c r="B12" s="291">
        <v>43637</v>
      </c>
      <c r="C12" s="272" t="s">
        <v>389</v>
      </c>
      <c r="D12" s="40" t="s">
        <v>390</v>
      </c>
      <c r="E12" s="218">
        <f t="shared" si="1"/>
        <v>40</v>
      </c>
      <c r="F12" s="246"/>
      <c r="G12" s="246"/>
      <c r="H12" s="246"/>
      <c r="I12" s="247">
        <v>40</v>
      </c>
      <c r="J12" s="246"/>
      <c r="K12" s="246"/>
      <c r="L12" s="246"/>
      <c r="M12" s="246"/>
      <c r="N12" s="247"/>
      <c r="O12" s="246"/>
      <c r="P12" s="246"/>
      <c r="Q12" s="246"/>
      <c r="R12" s="246"/>
      <c r="S12" s="246"/>
      <c r="T12" s="246"/>
      <c r="U12" s="246"/>
      <c r="V12" s="246"/>
      <c r="W12" s="270"/>
    </row>
    <row r="13" spans="1:23" ht="14.25" customHeight="1">
      <c r="A13" s="290">
        <v>5</v>
      </c>
      <c r="B13" s="291">
        <v>43673</v>
      </c>
      <c r="C13" s="272" t="s">
        <v>389</v>
      </c>
      <c r="D13" s="40" t="s">
        <v>391</v>
      </c>
      <c r="E13" s="218">
        <f t="shared" si="1"/>
        <v>120</v>
      </c>
      <c r="F13" s="246"/>
      <c r="G13" s="246"/>
      <c r="H13" s="246"/>
      <c r="I13" s="247">
        <v>30</v>
      </c>
      <c r="J13" s="246"/>
      <c r="K13" s="246"/>
      <c r="L13" s="246"/>
      <c r="M13" s="246"/>
      <c r="N13" s="247">
        <v>30</v>
      </c>
      <c r="O13" s="246">
        <v>30</v>
      </c>
      <c r="P13" s="246">
        <v>30</v>
      </c>
      <c r="Q13" s="246"/>
      <c r="R13" s="246"/>
      <c r="S13" s="246"/>
      <c r="T13" s="246"/>
      <c r="U13" s="246"/>
      <c r="V13" s="246"/>
      <c r="W13" s="270"/>
    </row>
    <row r="14" spans="1:23" ht="14.25" customHeight="1">
      <c r="A14" s="290">
        <v>6</v>
      </c>
      <c r="B14" s="291">
        <v>43715</v>
      </c>
      <c r="C14" s="114" t="s">
        <v>251</v>
      </c>
      <c r="D14" s="40" t="s">
        <v>392</v>
      </c>
      <c r="E14" s="218">
        <f t="shared" si="1"/>
        <v>43</v>
      </c>
      <c r="F14" s="246">
        <v>10</v>
      </c>
      <c r="G14" s="246"/>
      <c r="H14" s="246"/>
      <c r="I14" s="247">
        <v>20</v>
      </c>
      <c r="J14" s="246"/>
      <c r="K14" s="246"/>
      <c r="L14" s="246"/>
      <c r="M14" s="246"/>
      <c r="N14" s="247">
        <v>10</v>
      </c>
      <c r="O14" s="246">
        <v>3</v>
      </c>
      <c r="P14" s="246"/>
      <c r="Q14" s="246"/>
      <c r="R14" s="246"/>
      <c r="S14" s="246"/>
      <c r="T14" s="246"/>
      <c r="U14" s="246"/>
      <c r="V14" s="246"/>
      <c r="W14" s="270"/>
    </row>
    <row r="15" spans="1:23" ht="14.25" customHeight="1">
      <c r="A15" s="290">
        <v>7</v>
      </c>
      <c r="B15" s="291">
        <v>43715</v>
      </c>
      <c r="C15" s="272" t="s">
        <v>389</v>
      </c>
      <c r="D15" s="40" t="s">
        <v>393</v>
      </c>
      <c r="E15" s="218">
        <f t="shared" si="1"/>
        <v>80</v>
      </c>
      <c r="F15" s="246">
        <v>80</v>
      </c>
      <c r="G15" s="246"/>
      <c r="H15" s="246"/>
      <c r="I15" s="247"/>
      <c r="J15" s="246"/>
      <c r="K15" s="246"/>
      <c r="L15" s="246"/>
      <c r="M15" s="246"/>
      <c r="N15" s="247"/>
      <c r="O15" s="246"/>
      <c r="P15" s="246"/>
      <c r="Q15" s="246"/>
      <c r="R15" s="246"/>
      <c r="S15" s="246"/>
      <c r="T15" s="246"/>
      <c r="U15" s="246"/>
      <c r="V15" s="246"/>
      <c r="W15" s="270"/>
    </row>
    <row r="16" spans="1:23" ht="14.25" customHeight="1">
      <c r="A16" s="290">
        <v>8</v>
      </c>
      <c r="B16" s="291">
        <v>43718</v>
      </c>
      <c r="C16" s="272" t="s">
        <v>389</v>
      </c>
      <c r="D16" s="40" t="s">
        <v>394</v>
      </c>
      <c r="E16" s="218">
        <f t="shared" si="1"/>
        <v>60</v>
      </c>
      <c r="F16" s="246"/>
      <c r="G16" s="246"/>
      <c r="H16" s="246"/>
      <c r="I16" s="247">
        <v>20</v>
      </c>
      <c r="J16" s="246"/>
      <c r="K16" s="246"/>
      <c r="L16" s="246"/>
      <c r="M16" s="246"/>
      <c r="N16" s="247">
        <v>30</v>
      </c>
      <c r="O16" s="246">
        <v>5</v>
      </c>
      <c r="P16" s="246">
        <v>5</v>
      </c>
      <c r="Q16" s="246"/>
      <c r="R16" s="246"/>
      <c r="S16" s="246"/>
      <c r="T16" s="246"/>
      <c r="U16" s="246"/>
      <c r="V16" s="246"/>
      <c r="W16" s="270"/>
    </row>
    <row r="17" spans="1:23" ht="14.25" customHeight="1">
      <c r="A17" s="290">
        <v>9</v>
      </c>
      <c r="B17" s="291">
        <v>43719</v>
      </c>
      <c r="C17" s="39" t="s">
        <v>26</v>
      </c>
      <c r="D17" s="40" t="s">
        <v>395</v>
      </c>
      <c r="E17" s="218">
        <f t="shared" si="1"/>
        <v>254</v>
      </c>
      <c r="F17" s="246">
        <v>254</v>
      </c>
      <c r="G17" s="246"/>
      <c r="H17" s="246"/>
      <c r="I17" s="247"/>
      <c r="J17" s="246"/>
      <c r="K17" s="246"/>
      <c r="L17" s="246"/>
      <c r="M17" s="246"/>
      <c r="N17" s="247"/>
      <c r="O17" s="246"/>
      <c r="P17" s="246"/>
      <c r="Q17" s="246"/>
      <c r="R17" s="246"/>
      <c r="S17" s="246"/>
      <c r="T17" s="246"/>
      <c r="U17" s="246"/>
      <c r="V17" s="246"/>
      <c r="W17" s="270"/>
    </row>
    <row r="18" spans="1:23" ht="14.25" customHeight="1">
      <c r="A18" s="290">
        <v>10</v>
      </c>
      <c r="B18" s="291">
        <v>43727</v>
      </c>
      <c r="C18" s="39" t="s">
        <v>26</v>
      </c>
      <c r="D18" s="40" t="s">
        <v>396</v>
      </c>
      <c r="E18" s="218">
        <f t="shared" si="1"/>
        <v>440</v>
      </c>
      <c r="F18" s="246">
        <v>440</v>
      </c>
      <c r="G18" s="246"/>
      <c r="H18" s="246"/>
      <c r="I18" s="247"/>
      <c r="J18" s="246"/>
      <c r="K18" s="246"/>
      <c r="L18" s="246"/>
      <c r="M18" s="246"/>
      <c r="N18" s="247"/>
      <c r="O18" s="246"/>
      <c r="P18" s="246"/>
      <c r="Q18" s="246"/>
      <c r="R18" s="246"/>
      <c r="S18" s="246"/>
      <c r="T18" s="246"/>
      <c r="U18" s="246"/>
      <c r="V18" s="246"/>
      <c r="W18" s="270"/>
    </row>
    <row r="19" spans="1:23" ht="14.25" customHeight="1">
      <c r="A19" s="290">
        <v>11</v>
      </c>
      <c r="B19" s="291">
        <v>43737</v>
      </c>
      <c r="C19" s="272" t="s">
        <v>389</v>
      </c>
      <c r="D19" s="40" t="s">
        <v>397</v>
      </c>
      <c r="E19" s="218">
        <f t="shared" si="1"/>
        <v>40</v>
      </c>
      <c r="F19" s="246"/>
      <c r="G19" s="246"/>
      <c r="H19" s="246"/>
      <c r="I19" s="247">
        <v>20</v>
      </c>
      <c r="J19" s="246"/>
      <c r="K19" s="246"/>
      <c r="L19" s="246"/>
      <c r="M19" s="246"/>
      <c r="N19" s="247">
        <v>20</v>
      </c>
      <c r="O19" s="246"/>
      <c r="P19" s="246"/>
      <c r="Q19" s="246"/>
      <c r="R19" s="246"/>
      <c r="S19" s="246"/>
      <c r="T19" s="246"/>
      <c r="U19" s="246"/>
      <c r="V19" s="246"/>
      <c r="W19" s="270"/>
    </row>
    <row r="20" spans="1:23" ht="14.25" customHeight="1">
      <c r="A20" s="290">
        <v>12</v>
      </c>
      <c r="B20" s="291">
        <v>43740</v>
      </c>
      <c r="C20" s="39" t="s">
        <v>26</v>
      </c>
      <c r="D20" s="40" t="s">
        <v>398</v>
      </c>
      <c r="E20" s="218">
        <f t="shared" si="1"/>
        <v>320</v>
      </c>
      <c r="F20" s="246">
        <v>320</v>
      </c>
      <c r="G20" s="246"/>
      <c r="H20" s="246"/>
      <c r="I20" s="247"/>
      <c r="J20" s="246"/>
      <c r="K20" s="246"/>
      <c r="L20" s="246"/>
      <c r="M20" s="246"/>
      <c r="N20" s="247"/>
      <c r="O20" s="246"/>
      <c r="P20" s="246"/>
      <c r="Q20" s="246"/>
      <c r="R20" s="246"/>
      <c r="S20" s="246"/>
      <c r="T20" s="246"/>
      <c r="U20" s="246"/>
      <c r="V20" s="246"/>
      <c r="W20" s="270"/>
    </row>
    <row r="21" spans="1:23" ht="14.25" customHeight="1">
      <c r="A21" s="290">
        <v>13</v>
      </c>
      <c r="B21" s="291">
        <v>43754</v>
      </c>
      <c r="C21" s="39" t="s">
        <v>26</v>
      </c>
      <c r="D21" s="40" t="s">
        <v>399</v>
      </c>
      <c r="E21" s="218">
        <f t="shared" si="1"/>
        <v>200</v>
      </c>
      <c r="F21" s="246">
        <v>200</v>
      </c>
      <c r="G21" s="246"/>
      <c r="H21" s="246"/>
      <c r="I21" s="247"/>
      <c r="J21" s="246"/>
      <c r="K21" s="246"/>
      <c r="L21" s="246"/>
      <c r="M21" s="246"/>
      <c r="N21" s="247"/>
      <c r="O21" s="246"/>
      <c r="P21" s="246"/>
      <c r="Q21" s="246"/>
      <c r="R21" s="246"/>
      <c r="S21" s="246"/>
      <c r="T21" s="246"/>
      <c r="U21" s="246"/>
      <c r="V21" s="246"/>
      <c r="W21" s="270"/>
    </row>
    <row r="22" spans="1:23" ht="14.25" customHeight="1">
      <c r="A22" s="290">
        <v>14</v>
      </c>
      <c r="B22" s="291">
        <v>43775</v>
      </c>
      <c r="C22" s="39" t="s">
        <v>26</v>
      </c>
      <c r="D22" s="40" t="s">
        <v>400</v>
      </c>
      <c r="E22" s="218">
        <f t="shared" si="1"/>
        <v>131</v>
      </c>
      <c r="F22" s="246">
        <v>131</v>
      </c>
      <c r="G22" s="246"/>
      <c r="H22" s="246"/>
      <c r="I22" s="247"/>
      <c r="J22" s="246"/>
      <c r="K22" s="246"/>
      <c r="L22" s="246"/>
      <c r="M22" s="246"/>
      <c r="N22" s="247"/>
      <c r="O22" s="246"/>
      <c r="P22" s="246"/>
      <c r="Q22" s="246"/>
      <c r="R22" s="246"/>
      <c r="S22" s="246"/>
      <c r="T22" s="246"/>
      <c r="U22" s="246"/>
      <c r="V22" s="246"/>
      <c r="W22" s="270"/>
    </row>
    <row r="23" spans="1:23" ht="14.25" customHeight="1">
      <c r="A23" s="290">
        <v>15</v>
      </c>
      <c r="B23" s="291">
        <v>43782</v>
      </c>
      <c r="C23" s="39" t="s">
        <v>26</v>
      </c>
      <c r="D23" s="40" t="s">
        <v>401</v>
      </c>
      <c r="E23" s="218">
        <f t="shared" si="1"/>
        <v>143</v>
      </c>
      <c r="F23" s="246">
        <v>143</v>
      </c>
      <c r="G23" s="246"/>
      <c r="H23" s="246"/>
      <c r="I23" s="247"/>
      <c r="J23" s="246"/>
      <c r="K23" s="246"/>
      <c r="L23" s="246"/>
      <c r="M23" s="246"/>
      <c r="N23" s="247"/>
      <c r="O23" s="246"/>
      <c r="P23" s="246"/>
      <c r="Q23" s="246"/>
      <c r="R23" s="246"/>
      <c r="S23" s="246"/>
      <c r="T23" s="246"/>
      <c r="U23" s="246"/>
      <c r="V23" s="246"/>
      <c r="W23" s="270"/>
    </row>
    <row r="24" spans="1:23" ht="14.25" customHeight="1">
      <c r="A24" s="290">
        <v>16</v>
      </c>
      <c r="B24" s="291">
        <v>43814</v>
      </c>
      <c r="C24" s="294" t="s">
        <v>246</v>
      </c>
      <c r="D24" s="40" t="s">
        <v>402</v>
      </c>
      <c r="E24" s="218">
        <f t="shared" si="1"/>
        <v>40</v>
      </c>
      <c r="F24" s="246"/>
      <c r="G24" s="246"/>
      <c r="H24" s="246"/>
      <c r="I24" s="247">
        <v>40</v>
      </c>
      <c r="J24" s="246"/>
      <c r="K24" s="246"/>
      <c r="L24" s="246"/>
      <c r="M24" s="246"/>
      <c r="N24" s="247"/>
      <c r="O24" s="246"/>
      <c r="P24" s="246"/>
      <c r="Q24" s="246"/>
      <c r="R24" s="246"/>
      <c r="S24" s="246"/>
      <c r="T24" s="246"/>
      <c r="U24" s="246"/>
      <c r="V24" s="246"/>
      <c r="W24" s="270"/>
    </row>
    <row r="25" spans="1:23" ht="14.25" customHeight="1">
      <c r="A25" s="290">
        <v>17</v>
      </c>
      <c r="B25" s="291" t="s">
        <v>403</v>
      </c>
      <c r="C25" s="272" t="s">
        <v>389</v>
      </c>
      <c r="D25" s="273" t="s">
        <v>404</v>
      </c>
      <c r="E25" s="218">
        <f t="shared" si="1"/>
        <v>80</v>
      </c>
      <c r="F25" s="246"/>
      <c r="G25" s="246"/>
      <c r="H25" s="246"/>
      <c r="I25" s="247">
        <v>80</v>
      </c>
      <c r="J25" s="246"/>
      <c r="K25" s="246"/>
      <c r="L25" s="246"/>
      <c r="M25" s="246"/>
      <c r="N25" s="247"/>
      <c r="O25" s="246"/>
      <c r="P25" s="246"/>
      <c r="Q25" s="246"/>
      <c r="R25" s="246"/>
      <c r="S25" s="246"/>
      <c r="T25" s="246"/>
      <c r="U25" s="246"/>
      <c r="V25" s="246"/>
      <c r="W25" s="270"/>
    </row>
    <row r="26" spans="1:23" ht="14.25" customHeight="1">
      <c r="A26" s="290">
        <v>18</v>
      </c>
      <c r="B26" s="291">
        <v>43816</v>
      </c>
      <c r="C26" s="269" t="s">
        <v>245</v>
      </c>
      <c r="D26" s="40" t="s">
        <v>405</v>
      </c>
      <c r="E26" s="218">
        <f t="shared" si="1"/>
        <v>60</v>
      </c>
      <c r="F26" s="246"/>
      <c r="G26" s="246"/>
      <c r="H26" s="246"/>
      <c r="I26" s="247"/>
      <c r="J26" s="246"/>
      <c r="K26" s="246"/>
      <c r="L26" s="246"/>
      <c r="M26" s="246"/>
      <c r="N26" s="247">
        <v>50</v>
      </c>
      <c r="O26" s="246">
        <v>10</v>
      </c>
      <c r="P26" s="246"/>
      <c r="Q26" s="246"/>
      <c r="R26" s="246"/>
      <c r="S26" s="246"/>
      <c r="T26" s="246"/>
      <c r="U26" s="246"/>
      <c r="V26" s="246"/>
      <c r="W26" s="270"/>
    </row>
    <row r="27" spans="1:23" ht="14.25" customHeight="1">
      <c r="A27" s="290">
        <v>19</v>
      </c>
      <c r="B27" s="291">
        <v>43817</v>
      </c>
      <c r="C27" s="39" t="s">
        <v>26</v>
      </c>
      <c r="D27" s="40" t="s">
        <v>406</v>
      </c>
      <c r="E27" s="218">
        <f t="shared" si="1"/>
        <v>399</v>
      </c>
      <c r="F27" s="246">
        <v>399</v>
      </c>
      <c r="G27" s="246"/>
      <c r="H27" s="246"/>
      <c r="I27" s="247"/>
      <c r="J27" s="246"/>
      <c r="K27" s="246"/>
      <c r="L27" s="246"/>
      <c r="M27" s="246"/>
      <c r="N27" s="247"/>
      <c r="O27" s="246"/>
      <c r="P27" s="246"/>
      <c r="Q27" s="246"/>
      <c r="R27" s="246"/>
      <c r="S27" s="246"/>
      <c r="T27" s="246"/>
      <c r="U27" s="246"/>
      <c r="V27" s="246"/>
      <c r="W27" s="270"/>
    </row>
    <row r="28" spans="1:23" ht="14.25" customHeight="1">
      <c r="A28" s="290">
        <v>20</v>
      </c>
      <c r="B28" s="291">
        <v>43823</v>
      </c>
      <c r="C28" s="269" t="s">
        <v>21</v>
      </c>
      <c r="D28" s="40" t="s">
        <v>407</v>
      </c>
      <c r="E28" s="218">
        <f t="shared" si="1"/>
        <v>448</v>
      </c>
      <c r="F28" s="246"/>
      <c r="G28" s="246"/>
      <c r="H28" s="246">
        <v>448</v>
      </c>
      <c r="I28" s="247"/>
      <c r="J28" s="246"/>
      <c r="K28" s="246"/>
      <c r="L28" s="246"/>
      <c r="M28" s="246"/>
      <c r="N28" s="247"/>
      <c r="O28" s="246"/>
      <c r="P28" s="246"/>
      <c r="Q28" s="246"/>
      <c r="R28" s="246"/>
      <c r="S28" s="246"/>
      <c r="T28" s="246"/>
      <c r="U28" s="246"/>
      <c r="V28" s="246"/>
      <c r="W28" s="270"/>
    </row>
    <row r="29" spans="1:23" ht="14.25" customHeight="1">
      <c r="A29" s="290">
        <v>21</v>
      </c>
      <c r="B29" s="291">
        <v>43838</v>
      </c>
      <c r="C29" s="39" t="s">
        <v>26</v>
      </c>
      <c r="D29" s="40" t="s">
        <v>408</v>
      </c>
      <c r="E29" s="218">
        <f t="shared" si="1"/>
        <v>387</v>
      </c>
      <c r="F29" s="246">
        <v>387</v>
      </c>
      <c r="G29" s="246"/>
      <c r="H29" s="246"/>
      <c r="I29" s="247"/>
      <c r="J29" s="246"/>
      <c r="K29" s="246"/>
      <c r="L29" s="246"/>
      <c r="M29" s="246"/>
      <c r="N29" s="247"/>
      <c r="O29" s="246"/>
      <c r="P29" s="246"/>
      <c r="Q29" s="246"/>
      <c r="R29" s="246"/>
      <c r="S29" s="246"/>
      <c r="T29" s="246"/>
      <c r="U29" s="246"/>
      <c r="V29" s="246"/>
      <c r="W29" s="270"/>
    </row>
    <row r="30" spans="1:23" ht="14.25" customHeight="1">
      <c r="A30" s="290">
        <v>22</v>
      </c>
      <c r="B30" s="291">
        <v>43845</v>
      </c>
      <c r="C30" s="39" t="s">
        <v>26</v>
      </c>
      <c r="D30" s="40" t="s">
        <v>409</v>
      </c>
      <c r="E30" s="218">
        <f t="shared" si="1"/>
        <v>204</v>
      </c>
      <c r="F30" s="246">
        <v>204</v>
      </c>
      <c r="G30" s="246"/>
      <c r="H30" s="246"/>
      <c r="I30" s="247"/>
      <c r="J30" s="246"/>
      <c r="K30" s="246"/>
      <c r="L30" s="246"/>
      <c r="M30" s="246"/>
      <c r="N30" s="247"/>
      <c r="O30" s="246"/>
      <c r="P30" s="246"/>
      <c r="Q30" s="246"/>
      <c r="R30" s="246"/>
      <c r="S30" s="246"/>
      <c r="T30" s="246"/>
      <c r="U30" s="246"/>
      <c r="V30" s="246"/>
      <c r="W30" s="270"/>
    </row>
    <row r="31" spans="1:23" ht="14.25" customHeight="1">
      <c r="A31" s="290">
        <v>23</v>
      </c>
      <c r="B31" s="291">
        <v>43861</v>
      </c>
      <c r="C31" s="269" t="s">
        <v>245</v>
      </c>
      <c r="D31" s="40" t="s">
        <v>410</v>
      </c>
      <c r="E31" s="218">
        <f t="shared" si="1"/>
        <v>12</v>
      </c>
      <c r="F31" s="246"/>
      <c r="G31" s="246"/>
      <c r="H31" s="246"/>
      <c r="I31" s="247"/>
      <c r="J31" s="246"/>
      <c r="K31" s="246"/>
      <c r="L31" s="246"/>
      <c r="M31" s="246"/>
      <c r="N31" s="247"/>
      <c r="O31" s="246">
        <v>12</v>
      </c>
      <c r="P31" s="246"/>
      <c r="Q31" s="246"/>
      <c r="R31" s="246"/>
      <c r="S31" s="246"/>
      <c r="T31" s="246"/>
      <c r="U31" s="246"/>
      <c r="V31" s="246"/>
      <c r="W31" s="270"/>
    </row>
    <row r="32" spans="1:23" ht="14.25" customHeight="1">
      <c r="A32" s="290">
        <v>24</v>
      </c>
      <c r="B32" s="295">
        <v>43870</v>
      </c>
      <c r="C32" s="296" t="s">
        <v>251</v>
      </c>
      <c r="D32" s="297" t="s">
        <v>411</v>
      </c>
      <c r="E32" s="218">
        <f t="shared" si="1"/>
        <v>40</v>
      </c>
      <c r="F32" s="298"/>
      <c r="G32" s="298"/>
      <c r="H32" s="298"/>
      <c r="I32" s="299">
        <v>20</v>
      </c>
      <c r="J32" s="298"/>
      <c r="K32" s="298"/>
      <c r="L32" s="298">
        <v>20</v>
      </c>
      <c r="M32" s="298"/>
      <c r="N32" s="299"/>
      <c r="O32" s="298"/>
      <c r="P32" s="298"/>
      <c r="Q32" s="298"/>
      <c r="R32" s="298"/>
      <c r="S32" s="298"/>
      <c r="T32" s="298"/>
      <c r="U32" s="298"/>
      <c r="V32" s="298"/>
      <c r="W32" s="300"/>
    </row>
    <row r="33" spans="2:23" ht="14.25" customHeight="1">
      <c r="B33" s="295"/>
      <c r="C33" s="301"/>
      <c r="D33" s="297"/>
      <c r="E33" s="218">
        <f t="shared" si="1"/>
        <v>0</v>
      </c>
      <c r="F33" s="298"/>
      <c r="G33" s="298"/>
      <c r="H33" s="298"/>
      <c r="I33" s="299"/>
      <c r="J33" s="298"/>
      <c r="K33" s="298"/>
      <c r="L33" s="298"/>
      <c r="M33" s="298"/>
      <c r="N33" s="299"/>
      <c r="O33" s="298"/>
      <c r="P33" s="298"/>
      <c r="Q33" s="298"/>
      <c r="R33" s="298"/>
      <c r="S33" s="298"/>
      <c r="T33" s="298"/>
      <c r="U33" s="298"/>
      <c r="V33" s="298"/>
      <c r="W33" s="300"/>
    </row>
    <row r="34" spans="2:23" ht="14.25" customHeight="1">
      <c r="B34" s="295"/>
      <c r="C34" s="301"/>
      <c r="D34" s="297"/>
      <c r="E34" s="218">
        <f t="shared" si="1"/>
        <v>0</v>
      </c>
      <c r="F34" s="298"/>
      <c r="G34" s="298"/>
      <c r="H34" s="298"/>
      <c r="I34" s="299"/>
      <c r="J34" s="298"/>
      <c r="K34" s="298"/>
      <c r="L34" s="298"/>
      <c r="M34" s="298"/>
      <c r="N34" s="299"/>
      <c r="O34" s="298"/>
      <c r="P34" s="298"/>
      <c r="Q34" s="298"/>
      <c r="R34" s="298"/>
      <c r="S34" s="298"/>
      <c r="T34" s="298"/>
      <c r="U34" s="298"/>
      <c r="V34" s="298"/>
      <c r="W34" s="300"/>
    </row>
    <row r="35" spans="2:23" ht="14.25" customHeight="1">
      <c r="B35" s="302"/>
      <c r="C35" s="303"/>
      <c r="D35" s="168"/>
      <c r="E35" s="218">
        <f t="shared" si="1"/>
        <v>0</v>
      </c>
      <c r="F35" s="278"/>
      <c r="G35" s="168"/>
      <c r="H35" s="279"/>
      <c r="I35" s="279"/>
      <c r="J35" s="168"/>
      <c r="K35" s="168"/>
      <c r="L35" s="168"/>
      <c r="M35" s="168"/>
      <c r="N35" s="279"/>
      <c r="O35" s="168"/>
      <c r="P35" s="168"/>
      <c r="Q35" s="168"/>
      <c r="R35" s="168"/>
      <c r="S35" s="168"/>
      <c r="T35" s="168"/>
      <c r="U35" s="168"/>
      <c r="V35" s="168"/>
      <c r="W35" s="280"/>
    </row>
    <row r="36" spans="2:23" ht="14.25" customHeight="1">
      <c r="D36" s="304" t="s">
        <v>412</v>
      </c>
      <c r="E36" s="290">
        <f t="shared" si="1"/>
        <v>4276</v>
      </c>
      <c r="F36" s="290">
        <f t="shared" ref="F36:W36" si="2">SUM(F9:F35)</f>
        <v>2568</v>
      </c>
      <c r="G36" s="290">
        <f t="shared" si="2"/>
        <v>0</v>
      </c>
      <c r="H36" s="290">
        <f t="shared" si="2"/>
        <v>448</v>
      </c>
      <c r="I36" s="290">
        <f t="shared" si="2"/>
        <v>805</v>
      </c>
      <c r="J36" s="290">
        <f t="shared" si="2"/>
        <v>0</v>
      </c>
      <c r="K36" s="290">
        <f t="shared" si="2"/>
        <v>0</v>
      </c>
      <c r="L36" s="290">
        <f t="shared" si="2"/>
        <v>20</v>
      </c>
      <c r="M36" s="290">
        <f t="shared" si="2"/>
        <v>0</v>
      </c>
      <c r="N36" s="290">
        <f t="shared" si="2"/>
        <v>340</v>
      </c>
      <c r="O36" s="290">
        <f t="shared" si="2"/>
        <v>60</v>
      </c>
      <c r="P36" s="290">
        <f t="shared" si="2"/>
        <v>35</v>
      </c>
      <c r="Q36" s="290">
        <f t="shared" si="2"/>
        <v>0</v>
      </c>
      <c r="R36" s="290">
        <f t="shared" si="2"/>
        <v>0</v>
      </c>
      <c r="S36" s="290">
        <f t="shared" si="2"/>
        <v>0</v>
      </c>
      <c r="T36" s="290">
        <f t="shared" si="2"/>
        <v>0</v>
      </c>
      <c r="U36" s="290">
        <f t="shared" si="2"/>
        <v>0</v>
      </c>
      <c r="V36" s="290">
        <f t="shared" si="2"/>
        <v>0</v>
      </c>
      <c r="W36" s="290">
        <f t="shared" si="2"/>
        <v>0</v>
      </c>
    </row>
    <row r="37" spans="2:23" ht="14.25" customHeight="1">
      <c r="E37" s="290">
        <f>SUM(E9:E35)</f>
        <v>4276</v>
      </c>
      <c r="H37" s="281"/>
      <c r="I37" s="281"/>
      <c r="N37" s="281"/>
    </row>
    <row r="38" spans="2:23" ht="14.25" customHeight="1">
      <c r="H38" s="281"/>
      <c r="I38" s="281"/>
      <c r="N38" s="281"/>
    </row>
    <row r="39" spans="2:23" ht="14.25" customHeight="1">
      <c r="H39" s="281"/>
      <c r="I39" s="281"/>
      <c r="N39" s="281"/>
    </row>
    <row r="40" spans="2:23" ht="14.25" customHeight="1">
      <c r="H40" s="281"/>
      <c r="I40" s="281"/>
      <c r="N40" s="281"/>
    </row>
    <row r="41" spans="2:23" ht="14.25" customHeight="1">
      <c r="H41" s="281"/>
      <c r="I41" s="281"/>
      <c r="N41" s="281"/>
    </row>
    <row r="42" spans="2:23" ht="14.25" customHeight="1">
      <c r="H42" s="281"/>
      <c r="I42" s="281"/>
      <c r="N42" s="281"/>
    </row>
    <row r="43" spans="2:23" ht="14.25" customHeight="1">
      <c r="H43" s="281"/>
      <c r="I43" s="281"/>
      <c r="N43" s="281"/>
    </row>
    <row r="44" spans="2:23" ht="14.25" customHeight="1">
      <c r="H44" s="281"/>
      <c r="I44" s="281"/>
      <c r="N44" s="281"/>
    </row>
    <row r="45" spans="2:23" ht="14.25" customHeight="1">
      <c r="H45" s="281"/>
      <c r="I45" s="281"/>
      <c r="N45" s="281"/>
    </row>
    <row r="46" spans="2:23" ht="14.25" customHeight="1">
      <c r="H46" s="281"/>
      <c r="I46" s="281"/>
      <c r="N46" s="281"/>
    </row>
    <row r="47" spans="2:23" ht="14.25" customHeight="1">
      <c r="H47" s="281"/>
      <c r="I47" s="281"/>
      <c r="N47" s="281"/>
    </row>
    <row r="48" spans="2:23" ht="14.25" customHeight="1">
      <c r="H48" s="281"/>
      <c r="I48" s="281"/>
      <c r="N48" s="281"/>
    </row>
    <row r="49" spans="8:14" ht="14.25" customHeight="1">
      <c r="H49" s="281"/>
      <c r="I49" s="281"/>
      <c r="N49" s="281"/>
    </row>
    <row r="50" spans="8:14" ht="14.25" customHeight="1">
      <c r="H50" s="281"/>
      <c r="I50" s="281"/>
      <c r="N50" s="281"/>
    </row>
    <row r="51" spans="8:14" ht="14.25" customHeight="1">
      <c r="H51" s="281"/>
      <c r="I51" s="281"/>
      <c r="N51" s="281"/>
    </row>
    <row r="52" spans="8:14" ht="14.25" customHeight="1">
      <c r="H52" s="281"/>
      <c r="I52" s="281"/>
      <c r="N52" s="281"/>
    </row>
    <row r="53" spans="8:14" ht="14.25" customHeight="1">
      <c r="H53" s="281"/>
      <c r="I53" s="281"/>
      <c r="N53" s="281"/>
    </row>
    <row r="54" spans="8:14" ht="14.25" customHeight="1">
      <c r="H54" s="281"/>
      <c r="I54" s="281"/>
      <c r="N54" s="281"/>
    </row>
    <row r="55" spans="8:14" ht="14.25" customHeight="1">
      <c r="H55" s="281"/>
      <c r="I55" s="281"/>
      <c r="N55" s="281"/>
    </row>
    <row r="56" spans="8:14" ht="14.25" customHeight="1">
      <c r="H56" s="281"/>
      <c r="I56" s="281"/>
      <c r="N56" s="281"/>
    </row>
    <row r="57" spans="8:14" ht="14.25" customHeight="1">
      <c r="H57" s="281"/>
      <c r="I57" s="281"/>
      <c r="N57" s="281"/>
    </row>
    <row r="58" spans="8:14" ht="14.25" customHeight="1">
      <c r="H58" s="281"/>
      <c r="I58" s="281"/>
      <c r="N58" s="281"/>
    </row>
    <row r="59" spans="8:14" ht="14.25" customHeight="1">
      <c r="H59" s="281"/>
      <c r="I59" s="281"/>
      <c r="N59" s="281"/>
    </row>
    <row r="60" spans="8:14" ht="14.25" customHeight="1">
      <c r="H60" s="281"/>
      <c r="I60" s="281"/>
      <c r="N60" s="281"/>
    </row>
    <row r="61" spans="8:14" ht="14.25" customHeight="1">
      <c r="H61" s="281"/>
      <c r="I61" s="281"/>
      <c r="N61" s="281"/>
    </row>
    <row r="62" spans="8:14" ht="14.25" customHeight="1">
      <c r="H62" s="281"/>
      <c r="I62" s="281"/>
      <c r="N62" s="281"/>
    </row>
    <row r="63" spans="8:14" ht="14.25" customHeight="1">
      <c r="H63" s="281"/>
      <c r="I63" s="281"/>
      <c r="N63" s="281"/>
    </row>
    <row r="64" spans="8:14" ht="14.25" customHeight="1">
      <c r="H64" s="281"/>
      <c r="I64" s="281"/>
      <c r="N64" s="281"/>
    </row>
    <row r="65" spans="8:14" ht="14.25" customHeight="1">
      <c r="H65" s="281"/>
      <c r="I65" s="281"/>
      <c r="N65" s="281"/>
    </row>
    <row r="66" spans="8:14" ht="14.25" customHeight="1">
      <c r="H66" s="281"/>
      <c r="I66" s="281"/>
      <c r="N66" s="281"/>
    </row>
    <row r="67" spans="8:14" ht="14.25" customHeight="1">
      <c r="H67" s="281"/>
      <c r="I67" s="281"/>
      <c r="N67" s="281"/>
    </row>
    <row r="68" spans="8:14" ht="14.25" customHeight="1">
      <c r="H68" s="281"/>
      <c r="I68" s="281"/>
      <c r="N68" s="281"/>
    </row>
    <row r="69" spans="8:14" ht="14.25" customHeight="1">
      <c r="H69" s="281"/>
      <c r="I69" s="281"/>
      <c r="N69" s="281"/>
    </row>
    <row r="70" spans="8:14" ht="14.25" customHeight="1">
      <c r="H70" s="281"/>
      <c r="I70" s="281"/>
      <c r="N70" s="281"/>
    </row>
    <row r="71" spans="8:14" ht="14.25" customHeight="1">
      <c r="H71" s="281"/>
      <c r="I71" s="281"/>
      <c r="N71" s="281"/>
    </row>
    <row r="72" spans="8:14" ht="14.25" customHeight="1">
      <c r="H72" s="281"/>
      <c r="I72" s="281"/>
      <c r="N72" s="281"/>
    </row>
    <row r="73" spans="8:14" ht="14.25" customHeight="1">
      <c r="H73" s="281"/>
      <c r="I73" s="281"/>
      <c r="N73" s="281"/>
    </row>
    <row r="74" spans="8:14" ht="14.25" customHeight="1">
      <c r="H74" s="281"/>
      <c r="I74" s="281"/>
      <c r="N74" s="281"/>
    </row>
    <row r="75" spans="8:14" ht="14.25" customHeight="1">
      <c r="H75" s="281"/>
      <c r="I75" s="281"/>
      <c r="N75" s="281"/>
    </row>
    <row r="76" spans="8:14" ht="14.25" customHeight="1">
      <c r="H76" s="281"/>
      <c r="I76" s="281"/>
      <c r="N76" s="281"/>
    </row>
    <row r="77" spans="8:14" ht="14.25" customHeight="1">
      <c r="H77" s="281"/>
      <c r="I77" s="281"/>
      <c r="N77" s="281"/>
    </row>
    <row r="78" spans="8:14" ht="14.25" customHeight="1">
      <c r="H78" s="281"/>
      <c r="I78" s="281"/>
      <c r="N78" s="281"/>
    </row>
    <row r="79" spans="8:14" ht="14.25" customHeight="1">
      <c r="H79" s="281"/>
      <c r="I79" s="281"/>
      <c r="N79" s="281"/>
    </row>
    <row r="80" spans="8:14" ht="14.25" customHeight="1">
      <c r="H80" s="281"/>
      <c r="I80" s="281"/>
      <c r="N80" s="281"/>
    </row>
    <row r="81" spans="8:14" ht="14.25" customHeight="1">
      <c r="H81" s="281"/>
      <c r="I81" s="281"/>
      <c r="N81" s="281"/>
    </row>
    <row r="82" spans="8:14" ht="14.25" customHeight="1">
      <c r="H82" s="281"/>
      <c r="I82" s="281"/>
      <c r="N82" s="281"/>
    </row>
    <row r="83" spans="8:14" ht="14.25" customHeight="1">
      <c r="H83" s="281"/>
      <c r="I83" s="281"/>
      <c r="N83" s="281"/>
    </row>
    <row r="84" spans="8:14" ht="14.25" customHeight="1">
      <c r="H84" s="281"/>
      <c r="I84" s="281"/>
      <c r="N84" s="281"/>
    </row>
    <row r="85" spans="8:14" ht="14.25" customHeight="1">
      <c r="H85" s="281"/>
      <c r="I85" s="281"/>
      <c r="N85" s="281"/>
    </row>
    <row r="86" spans="8:14" ht="14.25" customHeight="1">
      <c r="H86" s="281"/>
      <c r="I86" s="281"/>
      <c r="N86" s="281"/>
    </row>
    <row r="87" spans="8:14" ht="14.25" customHeight="1">
      <c r="H87" s="281"/>
      <c r="I87" s="281"/>
      <c r="N87" s="281"/>
    </row>
    <row r="88" spans="8:14" ht="14.25" customHeight="1">
      <c r="H88" s="281"/>
      <c r="I88" s="281"/>
      <c r="N88" s="281"/>
    </row>
    <row r="89" spans="8:14" ht="14.25" customHeight="1">
      <c r="H89" s="281"/>
      <c r="I89" s="281"/>
      <c r="N89" s="281"/>
    </row>
    <row r="90" spans="8:14" ht="14.25" customHeight="1">
      <c r="H90" s="281"/>
      <c r="I90" s="281"/>
      <c r="N90" s="281"/>
    </row>
    <row r="91" spans="8:14" ht="14.25" customHeight="1">
      <c r="H91" s="281"/>
      <c r="I91" s="281"/>
      <c r="N91" s="281"/>
    </row>
    <row r="92" spans="8:14" ht="14.25" customHeight="1">
      <c r="H92" s="281"/>
      <c r="I92" s="281"/>
      <c r="N92" s="281"/>
    </row>
    <row r="93" spans="8:14" ht="14.25" customHeight="1">
      <c r="H93" s="281"/>
      <c r="I93" s="281"/>
      <c r="N93" s="281"/>
    </row>
    <row r="94" spans="8:14" ht="14.25" customHeight="1">
      <c r="H94" s="281"/>
      <c r="I94" s="281"/>
      <c r="N94" s="281"/>
    </row>
    <row r="95" spans="8:14" ht="14.25" customHeight="1">
      <c r="H95" s="281"/>
      <c r="I95" s="281"/>
      <c r="N95" s="281"/>
    </row>
    <row r="96" spans="8:14" ht="14.25" customHeight="1">
      <c r="H96" s="281"/>
      <c r="I96" s="281"/>
      <c r="N96" s="281"/>
    </row>
    <row r="97" spans="8:14" ht="14.25" customHeight="1">
      <c r="H97" s="281"/>
      <c r="I97" s="281"/>
      <c r="N97" s="281"/>
    </row>
    <row r="98" spans="8:14" ht="14.25" customHeight="1">
      <c r="H98" s="281"/>
      <c r="I98" s="281"/>
      <c r="N98" s="281"/>
    </row>
    <row r="99" spans="8:14" ht="14.25" customHeight="1">
      <c r="H99" s="281"/>
      <c r="I99" s="281"/>
      <c r="N99" s="281"/>
    </row>
    <row r="100" spans="8:14" ht="14.25" customHeight="1">
      <c r="H100" s="281"/>
      <c r="I100" s="281"/>
      <c r="N100" s="281"/>
    </row>
    <row r="101" spans="8:14" ht="14.25" customHeight="1">
      <c r="H101" s="281"/>
      <c r="I101" s="281"/>
      <c r="N101" s="281"/>
    </row>
    <row r="102" spans="8:14" ht="14.25" customHeight="1">
      <c r="H102" s="281"/>
      <c r="I102" s="281"/>
      <c r="N102" s="281"/>
    </row>
    <row r="103" spans="8:14" ht="14.25" customHeight="1">
      <c r="H103" s="281"/>
      <c r="I103" s="281"/>
      <c r="N103" s="281"/>
    </row>
    <row r="104" spans="8:14" ht="14.25" customHeight="1">
      <c r="H104" s="281"/>
      <c r="I104" s="281"/>
      <c r="N104" s="281"/>
    </row>
    <row r="105" spans="8:14" ht="14.25" customHeight="1">
      <c r="H105" s="281"/>
      <c r="I105" s="281"/>
      <c r="N105" s="281"/>
    </row>
    <row r="106" spans="8:14" ht="14.25" customHeight="1">
      <c r="H106" s="281"/>
      <c r="I106" s="281"/>
      <c r="N106" s="281"/>
    </row>
    <row r="107" spans="8:14" ht="14.25" customHeight="1">
      <c r="H107" s="281"/>
      <c r="I107" s="281"/>
      <c r="N107" s="281"/>
    </row>
    <row r="108" spans="8:14" ht="14.25" customHeight="1">
      <c r="H108" s="281"/>
      <c r="I108" s="281"/>
      <c r="N108" s="281"/>
    </row>
    <row r="109" spans="8:14" ht="14.25" customHeight="1">
      <c r="H109" s="281"/>
      <c r="I109" s="281"/>
      <c r="N109" s="281"/>
    </row>
    <row r="110" spans="8:14" ht="14.25" customHeight="1">
      <c r="H110" s="281"/>
      <c r="I110" s="281"/>
      <c r="N110" s="281"/>
    </row>
    <row r="111" spans="8:14" ht="14.25" customHeight="1">
      <c r="H111" s="281"/>
      <c r="I111" s="281"/>
      <c r="N111" s="281"/>
    </row>
    <row r="112" spans="8:14" ht="14.25" customHeight="1">
      <c r="H112" s="281"/>
      <c r="I112" s="281"/>
      <c r="N112" s="281"/>
    </row>
    <row r="113" spans="8:14" ht="14.25" customHeight="1">
      <c r="H113" s="281"/>
      <c r="I113" s="281"/>
      <c r="N113" s="281"/>
    </row>
    <row r="114" spans="8:14" ht="14.25" customHeight="1">
      <c r="H114" s="281"/>
      <c r="I114" s="281"/>
      <c r="N114" s="281"/>
    </row>
    <row r="115" spans="8:14" ht="14.25" customHeight="1">
      <c r="H115" s="281"/>
      <c r="I115" s="281"/>
      <c r="N115" s="281"/>
    </row>
    <row r="116" spans="8:14" ht="14.25" customHeight="1">
      <c r="H116" s="281"/>
      <c r="I116" s="281"/>
      <c r="N116" s="281"/>
    </row>
    <row r="117" spans="8:14" ht="14.25" customHeight="1">
      <c r="H117" s="281"/>
      <c r="I117" s="281"/>
      <c r="N117" s="281"/>
    </row>
    <row r="118" spans="8:14" ht="14.25" customHeight="1">
      <c r="H118" s="281"/>
      <c r="I118" s="281"/>
      <c r="N118" s="281"/>
    </row>
    <row r="119" spans="8:14" ht="14.25" customHeight="1">
      <c r="H119" s="281"/>
      <c r="I119" s="281"/>
      <c r="N119" s="281"/>
    </row>
    <row r="120" spans="8:14" ht="14.25" customHeight="1">
      <c r="H120" s="281"/>
      <c r="I120" s="281"/>
      <c r="N120" s="281"/>
    </row>
    <row r="121" spans="8:14" ht="14.25" customHeight="1">
      <c r="H121" s="281"/>
      <c r="I121" s="281"/>
      <c r="N121" s="281"/>
    </row>
    <row r="122" spans="8:14" ht="14.25" customHeight="1">
      <c r="H122" s="281"/>
      <c r="I122" s="281"/>
      <c r="N122" s="281"/>
    </row>
    <row r="123" spans="8:14" ht="14.25" customHeight="1">
      <c r="H123" s="281"/>
      <c r="I123" s="281"/>
      <c r="N123" s="281"/>
    </row>
    <row r="124" spans="8:14" ht="14.25" customHeight="1">
      <c r="H124" s="281"/>
      <c r="I124" s="281"/>
      <c r="N124" s="281"/>
    </row>
    <row r="125" spans="8:14" ht="14.25" customHeight="1">
      <c r="H125" s="281"/>
      <c r="I125" s="281"/>
      <c r="N125" s="281"/>
    </row>
    <row r="126" spans="8:14" ht="14.25" customHeight="1">
      <c r="H126" s="281"/>
      <c r="I126" s="281"/>
      <c r="N126" s="281"/>
    </row>
    <row r="127" spans="8:14" ht="14.25" customHeight="1">
      <c r="H127" s="281"/>
      <c r="I127" s="281"/>
      <c r="N127" s="281"/>
    </row>
    <row r="128" spans="8:14" ht="14.25" customHeight="1">
      <c r="H128" s="281"/>
      <c r="I128" s="281"/>
      <c r="N128" s="281"/>
    </row>
    <row r="129" spans="8:14" ht="14.25" customHeight="1">
      <c r="H129" s="281"/>
      <c r="I129" s="281"/>
      <c r="N129" s="281"/>
    </row>
    <row r="130" spans="8:14" ht="14.25" customHeight="1">
      <c r="H130" s="281"/>
      <c r="I130" s="281"/>
      <c r="N130" s="281"/>
    </row>
    <row r="131" spans="8:14" ht="14.25" customHeight="1">
      <c r="H131" s="281"/>
      <c r="I131" s="281"/>
      <c r="N131" s="281"/>
    </row>
    <row r="132" spans="8:14" ht="14.25" customHeight="1">
      <c r="H132" s="281"/>
      <c r="I132" s="281"/>
      <c r="N132" s="281"/>
    </row>
    <row r="133" spans="8:14" ht="14.25" customHeight="1">
      <c r="H133" s="281"/>
      <c r="I133" s="281"/>
      <c r="N133" s="281"/>
    </row>
    <row r="134" spans="8:14" ht="14.25" customHeight="1">
      <c r="H134" s="281"/>
      <c r="I134" s="281"/>
      <c r="N134" s="281"/>
    </row>
    <row r="135" spans="8:14" ht="14.25" customHeight="1">
      <c r="H135" s="281"/>
      <c r="I135" s="281"/>
      <c r="N135" s="281"/>
    </row>
    <row r="136" spans="8:14" ht="14.25" customHeight="1">
      <c r="H136" s="281"/>
      <c r="I136" s="281"/>
      <c r="N136" s="281"/>
    </row>
    <row r="137" spans="8:14" ht="14.25" customHeight="1">
      <c r="H137" s="281"/>
      <c r="I137" s="281"/>
      <c r="N137" s="281"/>
    </row>
    <row r="138" spans="8:14" ht="14.25" customHeight="1">
      <c r="H138" s="281"/>
      <c r="I138" s="281"/>
      <c r="N138" s="281"/>
    </row>
    <row r="139" spans="8:14" ht="14.25" customHeight="1">
      <c r="H139" s="281"/>
      <c r="I139" s="281"/>
      <c r="N139" s="281"/>
    </row>
    <row r="140" spans="8:14" ht="14.25" customHeight="1">
      <c r="H140" s="281"/>
      <c r="I140" s="281"/>
      <c r="N140" s="281"/>
    </row>
    <row r="141" spans="8:14" ht="14.25" customHeight="1">
      <c r="H141" s="281"/>
      <c r="I141" s="281"/>
      <c r="N141" s="281"/>
    </row>
    <row r="142" spans="8:14" ht="14.25" customHeight="1">
      <c r="H142" s="281"/>
      <c r="I142" s="281"/>
      <c r="N142" s="281"/>
    </row>
    <row r="143" spans="8:14" ht="14.25" customHeight="1">
      <c r="H143" s="281"/>
      <c r="I143" s="281"/>
      <c r="N143" s="281"/>
    </row>
    <row r="144" spans="8:14" ht="14.25" customHeight="1">
      <c r="H144" s="281"/>
      <c r="I144" s="281"/>
      <c r="N144" s="281"/>
    </row>
    <row r="145" spans="8:14" ht="14.25" customHeight="1">
      <c r="H145" s="281"/>
      <c r="I145" s="281"/>
      <c r="N145" s="281"/>
    </row>
    <row r="146" spans="8:14" ht="14.25" customHeight="1">
      <c r="H146" s="281"/>
      <c r="I146" s="281"/>
      <c r="N146" s="281"/>
    </row>
    <row r="147" spans="8:14" ht="14.25" customHeight="1">
      <c r="H147" s="281"/>
      <c r="I147" s="281"/>
      <c r="N147" s="281"/>
    </row>
    <row r="148" spans="8:14" ht="14.25" customHeight="1">
      <c r="H148" s="281"/>
      <c r="I148" s="281"/>
      <c r="N148" s="281"/>
    </row>
    <row r="149" spans="8:14" ht="14.25" customHeight="1">
      <c r="H149" s="281"/>
      <c r="I149" s="281"/>
      <c r="N149" s="281"/>
    </row>
    <row r="150" spans="8:14" ht="14.25" customHeight="1">
      <c r="H150" s="281"/>
      <c r="I150" s="281"/>
      <c r="N150" s="281"/>
    </row>
    <row r="151" spans="8:14" ht="14.25" customHeight="1">
      <c r="H151" s="281"/>
      <c r="I151" s="281"/>
      <c r="N151" s="281"/>
    </row>
    <row r="152" spans="8:14" ht="14.25" customHeight="1">
      <c r="H152" s="281"/>
      <c r="I152" s="281"/>
      <c r="N152" s="281"/>
    </row>
    <row r="153" spans="8:14" ht="14.25" customHeight="1">
      <c r="H153" s="281"/>
      <c r="I153" s="281"/>
      <c r="N153" s="281"/>
    </row>
    <row r="154" spans="8:14" ht="14.25" customHeight="1">
      <c r="H154" s="281"/>
      <c r="I154" s="281"/>
      <c r="N154" s="281"/>
    </row>
    <row r="155" spans="8:14" ht="14.25" customHeight="1">
      <c r="H155" s="281"/>
      <c r="I155" s="281"/>
      <c r="N155" s="281"/>
    </row>
    <row r="156" spans="8:14" ht="14.25" customHeight="1">
      <c r="H156" s="281"/>
      <c r="I156" s="281"/>
      <c r="N156" s="281"/>
    </row>
    <row r="157" spans="8:14" ht="14.25" customHeight="1">
      <c r="H157" s="281"/>
      <c r="I157" s="281"/>
      <c r="N157" s="281"/>
    </row>
    <row r="158" spans="8:14" ht="14.25" customHeight="1">
      <c r="H158" s="281"/>
      <c r="I158" s="281"/>
      <c r="N158" s="281"/>
    </row>
    <row r="159" spans="8:14" ht="14.25" customHeight="1">
      <c r="H159" s="281"/>
      <c r="I159" s="281"/>
      <c r="N159" s="281"/>
    </row>
    <row r="160" spans="8:14" ht="14.25" customHeight="1">
      <c r="H160" s="281"/>
      <c r="I160" s="281"/>
      <c r="N160" s="281"/>
    </row>
    <row r="161" spans="8:14" ht="14.25" customHeight="1">
      <c r="H161" s="281"/>
      <c r="I161" s="281"/>
      <c r="N161" s="281"/>
    </row>
    <row r="162" spans="8:14" ht="14.25" customHeight="1">
      <c r="H162" s="281"/>
      <c r="I162" s="281"/>
      <c r="N162" s="281"/>
    </row>
    <row r="163" spans="8:14" ht="14.25" customHeight="1">
      <c r="H163" s="281"/>
      <c r="I163" s="281"/>
      <c r="N163" s="281"/>
    </row>
    <row r="164" spans="8:14" ht="14.25" customHeight="1">
      <c r="H164" s="281"/>
      <c r="I164" s="281"/>
      <c r="N164" s="281"/>
    </row>
    <row r="165" spans="8:14" ht="14.25" customHeight="1">
      <c r="H165" s="281"/>
      <c r="I165" s="281"/>
      <c r="N165" s="281"/>
    </row>
    <row r="166" spans="8:14" ht="14.25" customHeight="1">
      <c r="H166" s="281"/>
      <c r="I166" s="281"/>
      <c r="N166" s="281"/>
    </row>
    <row r="167" spans="8:14" ht="14.25" customHeight="1">
      <c r="H167" s="281"/>
      <c r="I167" s="281"/>
      <c r="N167" s="281"/>
    </row>
    <row r="168" spans="8:14" ht="14.25" customHeight="1">
      <c r="H168" s="281"/>
      <c r="I168" s="281"/>
      <c r="N168" s="281"/>
    </row>
    <row r="169" spans="8:14" ht="14.25" customHeight="1">
      <c r="H169" s="281"/>
      <c r="I169" s="281"/>
      <c r="N169" s="281"/>
    </row>
    <row r="170" spans="8:14" ht="14.25" customHeight="1">
      <c r="H170" s="281"/>
      <c r="I170" s="281"/>
      <c r="N170" s="281"/>
    </row>
    <row r="171" spans="8:14" ht="14.25" customHeight="1">
      <c r="H171" s="281"/>
      <c r="I171" s="281"/>
      <c r="N171" s="281"/>
    </row>
    <row r="172" spans="8:14" ht="14.25" customHeight="1">
      <c r="H172" s="281"/>
      <c r="I172" s="281"/>
      <c r="N172" s="281"/>
    </row>
    <row r="173" spans="8:14" ht="14.25" customHeight="1">
      <c r="H173" s="281"/>
      <c r="I173" s="281"/>
      <c r="N173" s="281"/>
    </row>
    <row r="174" spans="8:14" ht="14.25" customHeight="1">
      <c r="H174" s="281"/>
      <c r="I174" s="281"/>
      <c r="N174" s="281"/>
    </row>
    <row r="175" spans="8:14" ht="14.25" customHeight="1">
      <c r="H175" s="281"/>
      <c r="I175" s="281"/>
      <c r="N175" s="281"/>
    </row>
    <row r="176" spans="8:14" ht="14.25" customHeight="1">
      <c r="H176" s="281"/>
      <c r="I176" s="281"/>
      <c r="N176" s="281"/>
    </row>
    <row r="177" spans="8:14" ht="14.25" customHeight="1">
      <c r="H177" s="281"/>
      <c r="I177" s="281"/>
      <c r="N177" s="281"/>
    </row>
    <row r="178" spans="8:14" ht="14.25" customHeight="1">
      <c r="H178" s="281"/>
      <c r="I178" s="281"/>
      <c r="N178" s="281"/>
    </row>
    <row r="179" spans="8:14" ht="14.25" customHeight="1">
      <c r="H179" s="281"/>
      <c r="I179" s="281"/>
      <c r="N179" s="281"/>
    </row>
    <row r="180" spans="8:14" ht="14.25" customHeight="1">
      <c r="H180" s="281"/>
      <c r="I180" s="281"/>
      <c r="N180" s="281"/>
    </row>
    <row r="181" spans="8:14" ht="14.25" customHeight="1">
      <c r="H181" s="281"/>
      <c r="I181" s="281"/>
      <c r="N181" s="281"/>
    </row>
    <row r="182" spans="8:14" ht="14.25" customHeight="1">
      <c r="H182" s="281"/>
      <c r="I182" s="281"/>
      <c r="N182" s="281"/>
    </row>
    <row r="183" spans="8:14" ht="14.25" customHeight="1">
      <c r="H183" s="281"/>
      <c r="I183" s="281"/>
      <c r="N183" s="281"/>
    </row>
    <row r="184" spans="8:14" ht="14.25" customHeight="1">
      <c r="H184" s="281"/>
      <c r="I184" s="281"/>
      <c r="N184" s="281"/>
    </row>
    <row r="185" spans="8:14" ht="14.25" customHeight="1">
      <c r="H185" s="281"/>
      <c r="I185" s="281"/>
      <c r="N185" s="281"/>
    </row>
    <row r="186" spans="8:14" ht="14.25" customHeight="1">
      <c r="H186" s="281"/>
      <c r="I186" s="281"/>
      <c r="N186" s="281"/>
    </row>
    <row r="187" spans="8:14" ht="14.25" customHeight="1">
      <c r="H187" s="281"/>
      <c r="I187" s="281"/>
      <c r="N187" s="281"/>
    </row>
    <row r="188" spans="8:14" ht="14.25" customHeight="1">
      <c r="H188" s="281"/>
      <c r="I188" s="281"/>
      <c r="N188" s="281"/>
    </row>
    <row r="189" spans="8:14" ht="14.25" customHeight="1">
      <c r="H189" s="281"/>
      <c r="I189" s="281"/>
      <c r="N189" s="281"/>
    </row>
    <row r="190" spans="8:14" ht="14.25" customHeight="1">
      <c r="H190" s="281"/>
      <c r="I190" s="281"/>
      <c r="N190" s="281"/>
    </row>
    <row r="191" spans="8:14" ht="14.25" customHeight="1">
      <c r="H191" s="281"/>
      <c r="I191" s="281"/>
      <c r="N191" s="281"/>
    </row>
    <row r="192" spans="8:14" ht="14.25" customHeight="1">
      <c r="H192" s="281"/>
      <c r="I192" s="281"/>
      <c r="N192" s="281"/>
    </row>
    <row r="193" spans="8:14" ht="14.25" customHeight="1">
      <c r="H193" s="281"/>
      <c r="I193" s="281"/>
      <c r="N193" s="281"/>
    </row>
    <row r="194" spans="8:14" ht="14.25" customHeight="1">
      <c r="H194" s="281"/>
      <c r="I194" s="281"/>
      <c r="N194" s="281"/>
    </row>
    <row r="195" spans="8:14" ht="14.25" customHeight="1">
      <c r="H195" s="281"/>
      <c r="I195" s="281"/>
      <c r="N195" s="281"/>
    </row>
    <row r="196" spans="8:14" ht="14.25" customHeight="1">
      <c r="H196" s="281"/>
      <c r="I196" s="281"/>
      <c r="N196" s="281"/>
    </row>
    <row r="197" spans="8:14" ht="14.25" customHeight="1">
      <c r="H197" s="281"/>
      <c r="I197" s="281"/>
      <c r="N197" s="281"/>
    </row>
    <row r="198" spans="8:14" ht="14.25" customHeight="1">
      <c r="H198" s="281"/>
      <c r="I198" s="281"/>
      <c r="N198" s="281"/>
    </row>
    <row r="199" spans="8:14" ht="14.25" customHeight="1">
      <c r="H199" s="281"/>
      <c r="I199" s="281"/>
      <c r="N199" s="281"/>
    </row>
    <row r="200" spans="8:14" ht="14.25" customHeight="1">
      <c r="H200" s="281"/>
      <c r="I200" s="281"/>
      <c r="N200" s="281"/>
    </row>
    <row r="201" spans="8:14" ht="14.25" customHeight="1">
      <c r="H201" s="281"/>
      <c r="I201" s="281"/>
      <c r="N201" s="281"/>
    </row>
    <row r="202" spans="8:14" ht="14.25" customHeight="1">
      <c r="H202" s="281"/>
      <c r="I202" s="281"/>
      <c r="N202" s="281"/>
    </row>
    <row r="203" spans="8:14" ht="14.25" customHeight="1">
      <c r="H203" s="281"/>
      <c r="I203" s="281"/>
      <c r="N203" s="281"/>
    </row>
    <row r="204" spans="8:14" ht="14.25" customHeight="1">
      <c r="H204" s="281"/>
      <c r="I204" s="281"/>
      <c r="N204" s="281"/>
    </row>
    <row r="205" spans="8:14" ht="14.25" customHeight="1">
      <c r="H205" s="281"/>
      <c r="I205" s="281"/>
      <c r="N205" s="281"/>
    </row>
    <row r="206" spans="8:14" ht="14.25" customHeight="1">
      <c r="H206" s="281"/>
      <c r="I206" s="281"/>
      <c r="N206" s="281"/>
    </row>
    <row r="207" spans="8:14" ht="14.25" customHeight="1">
      <c r="H207" s="281"/>
      <c r="I207" s="281"/>
      <c r="N207" s="281"/>
    </row>
    <row r="208" spans="8:14" ht="14.25" customHeight="1">
      <c r="H208" s="281"/>
      <c r="I208" s="281"/>
      <c r="N208" s="281"/>
    </row>
    <row r="209" spans="8:14" ht="14.25" customHeight="1">
      <c r="H209" s="281"/>
      <c r="I209" s="281"/>
      <c r="N209" s="281"/>
    </row>
    <row r="210" spans="8:14" ht="14.25" customHeight="1">
      <c r="H210" s="281"/>
      <c r="I210" s="281"/>
      <c r="N210" s="281"/>
    </row>
    <row r="211" spans="8:14" ht="14.25" customHeight="1">
      <c r="H211" s="281"/>
      <c r="I211" s="281"/>
      <c r="N211" s="281"/>
    </row>
    <row r="212" spans="8:14" ht="14.25" customHeight="1">
      <c r="H212" s="281"/>
      <c r="I212" s="281"/>
      <c r="N212" s="281"/>
    </row>
    <row r="213" spans="8:14" ht="14.25" customHeight="1">
      <c r="H213" s="281"/>
      <c r="I213" s="281"/>
      <c r="N213" s="281"/>
    </row>
    <row r="214" spans="8:14" ht="14.25" customHeight="1">
      <c r="H214" s="281"/>
      <c r="I214" s="281"/>
      <c r="N214" s="281"/>
    </row>
    <row r="215" spans="8:14" ht="14.25" customHeight="1">
      <c r="H215" s="281"/>
      <c r="I215" s="281"/>
      <c r="N215" s="281"/>
    </row>
    <row r="216" spans="8:14" ht="14.25" customHeight="1">
      <c r="H216" s="281"/>
      <c r="I216" s="281"/>
      <c r="N216" s="281"/>
    </row>
    <row r="217" spans="8:14" ht="14.25" customHeight="1">
      <c r="H217" s="281"/>
      <c r="I217" s="281"/>
      <c r="N217" s="281"/>
    </row>
    <row r="218" spans="8:14" ht="14.25" customHeight="1">
      <c r="H218" s="281"/>
      <c r="I218" s="281"/>
      <c r="N218" s="281"/>
    </row>
    <row r="219" spans="8:14" ht="14.25" customHeight="1">
      <c r="H219" s="281"/>
      <c r="I219" s="281"/>
      <c r="N219" s="281"/>
    </row>
    <row r="220" spans="8:14" ht="14.25" customHeight="1">
      <c r="H220" s="281"/>
      <c r="I220" s="281"/>
      <c r="N220" s="281"/>
    </row>
    <row r="221" spans="8:14" ht="14.25" customHeight="1">
      <c r="H221" s="281"/>
      <c r="I221" s="281"/>
      <c r="N221" s="281"/>
    </row>
    <row r="222" spans="8:14" ht="14.25" customHeight="1">
      <c r="H222" s="281"/>
      <c r="I222" s="281"/>
      <c r="N222" s="281"/>
    </row>
    <row r="223" spans="8:14" ht="14.25" customHeight="1">
      <c r="H223" s="281"/>
      <c r="I223" s="281"/>
      <c r="N223" s="281"/>
    </row>
    <row r="224" spans="8:14" ht="14.25" customHeight="1">
      <c r="H224" s="281"/>
      <c r="I224" s="281"/>
      <c r="N224" s="281"/>
    </row>
    <row r="225" spans="8:14" ht="14.25" customHeight="1">
      <c r="H225" s="281"/>
      <c r="I225" s="281"/>
      <c r="N225" s="281"/>
    </row>
    <row r="226" spans="8:14" ht="14.25" customHeight="1">
      <c r="H226" s="281"/>
      <c r="I226" s="281"/>
      <c r="N226" s="281"/>
    </row>
    <row r="227" spans="8:14" ht="14.25" customHeight="1">
      <c r="H227" s="281"/>
      <c r="I227" s="281"/>
      <c r="N227" s="281"/>
    </row>
    <row r="228" spans="8:14" ht="14.25" customHeight="1">
      <c r="H228" s="281"/>
      <c r="I228" s="281"/>
      <c r="N228" s="281"/>
    </row>
    <row r="229" spans="8:14" ht="14.25" customHeight="1">
      <c r="H229" s="281"/>
      <c r="I229" s="281"/>
      <c r="N229" s="281"/>
    </row>
    <row r="230" spans="8:14" ht="14.25" customHeight="1">
      <c r="H230" s="281"/>
      <c r="I230" s="281"/>
      <c r="N230" s="281"/>
    </row>
    <row r="231" spans="8:14" ht="14.25" customHeight="1">
      <c r="H231" s="281"/>
      <c r="I231" s="281"/>
      <c r="N231" s="281"/>
    </row>
    <row r="232" spans="8:14" ht="14.25" customHeight="1">
      <c r="H232" s="281"/>
      <c r="I232" s="281"/>
      <c r="N232" s="281"/>
    </row>
    <row r="233" spans="8:14" ht="14.25" customHeight="1">
      <c r="H233" s="281"/>
      <c r="I233" s="281"/>
      <c r="N233" s="281"/>
    </row>
    <row r="234" spans="8:14" ht="14.25" customHeight="1">
      <c r="H234" s="281"/>
      <c r="I234" s="281"/>
      <c r="N234" s="281"/>
    </row>
    <row r="235" spans="8:14" ht="14.25" customHeight="1">
      <c r="H235" s="281"/>
      <c r="I235" s="281"/>
      <c r="N235" s="281"/>
    </row>
    <row r="236" spans="8:14" ht="14.25" customHeight="1">
      <c r="H236" s="281"/>
      <c r="I236" s="281"/>
      <c r="N236" s="281"/>
    </row>
    <row r="237" spans="8:14" ht="14.25" customHeight="1">
      <c r="H237" s="281"/>
      <c r="I237" s="281"/>
      <c r="N237" s="281"/>
    </row>
    <row r="238" spans="8:14" ht="14.25" customHeight="1">
      <c r="H238" s="281"/>
      <c r="I238" s="281"/>
      <c r="N238" s="281"/>
    </row>
    <row r="239" spans="8:14" ht="14.25" customHeight="1">
      <c r="H239" s="281"/>
      <c r="I239" s="281"/>
      <c r="N239" s="281"/>
    </row>
    <row r="240" spans="8:14" ht="14.25" customHeight="1">
      <c r="H240" s="281"/>
      <c r="I240" s="281"/>
      <c r="N240" s="281"/>
    </row>
    <row r="241" spans="8:14" ht="14.25" customHeight="1">
      <c r="H241" s="281"/>
      <c r="I241" s="281"/>
      <c r="N241" s="281"/>
    </row>
    <row r="242" spans="8:14" ht="14.25" customHeight="1">
      <c r="H242" s="281"/>
      <c r="I242" s="281"/>
      <c r="N242" s="281"/>
    </row>
    <row r="243" spans="8:14" ht="14.25" customHeight="1">
      <c r="H243" s="281"/>
      <c r="I243" s="281"/>
      <c r="N243" s="281"/>
    </row>
    <row r="244" spans="8:14" ht="14.25" customHeight="1">
      <c r="H244" s="281"/>
      <c r="I244" s="281"/>
      <c r="N244" s="281"/>
    </row>
    <row r="245" spans="8:14" ht="14.25" customHeight="1">
      <c r="H245" s="281"/>
      <c r="I245" s="281"/>
      <c r="N245" s="281"/>
    </row>
    <row r="246" spans="8:14" ht="14.25" customHeight="1">
      <c r="H246" s="281"/>
      <c r="I246" s="281"/>
      <c r="N246" s="281"/>
    </row>
    <row r="247" spans="8:14" ht="14.25" customHeight="1">
      <c r="H247" s="281"/>
      <c r="I247" s="281"/>
      <c r="N247" s="281"/>
    </row>
    <row r="248" spans="8:14" ht="14.25" customHeight="1">
      <c r="H248" s="281"/>
      <c r="I248" s="281"/>
      <c r="N248" s="281"/>
    </row>
    <row r="249" spans="8:14" ht="14.25" customHeight="1">
      <c r="H249" s="281"/>
      <c r="I249" s="281"/>
      <c r="N249" s="281"/>
    </row>
    <row r="250" spans="8:14" ht="14.25" customHeight="1">
      <c r="H250" s="281"/>
      <c r="I250" s="281"/>
      <c r="N250" s="281"/>
    </row>
    <row r="251" spans="8:14" ht="14.25" customHeight="1">
      <c r="H251" s="281"/>
      <c r="I251" s="281"/>
      <c r="N251" s="281"/>
    </row>
    <row r="252" spans="8:14" ht="14.25" customHeight="1">
      <c r="H252" s="281"/>
      <c r="I252" s="281"/>
      <c r="N252" s="281"/>
    </row>
    <row r="253" spans="8:14" ht="14.25" customHeight="1">
      <c r="H253" s="281"/>
      <c r="I253" s="281"/>
      <c r="N253" s="281"/>
    </row>
    <row r="254" spans="8:14" ht="14.25" customHeight="1">
      <c r="H254" s="281"/>
      <c r="I254" s="281"/>
      <c r="N254" s="281"/>
    </row>
    <row r="255" spans="8:14" ht="14.25" customHeight="1">
      <c r="H255" s="281"/>
      <c r="I255" s="281"/>
      <c r="N255" s="281"/>
    </row>
    <row r="256" spans="8:14" ht="14.25" customHeight="1">
      <c r="H256" s="281"/>
      <c r="I256" s="281"/>
      <c r="N256" s="281"/>
    </row>
    <row r="257" spans="8:14" ht="14.25" customHeight="1">
      <c r="H257" s="281"/>
      <c r="I257" s="281"/>
      <c r="N257" s="281"/>
    </row>
    <row r="258" spans="8:14" ht="14.25" customHeight="1">
      <c r="H258" s="281"/>
      <c r="I258" s="281"/>
      <c r="N258" s="281"/>
    </row>
    <row r="259" spans="8:14" ht="14.25" customHeight="1">
      <c r="H259" s="281"/>
      <c r="I259" s="281"/>
      <c r="N259" s="281"/>
    </row>
    <row r="260" spans="8:14" ht="14.25" customHeight="1">
      <c r="H260" s="281"/>
      <c r="I260" s="281"/>
      <c r="N260" s="281"/>
    </row>
    <row r="261" spans="8:14" ht="14.25" customHeight="1">
      <c r="H261" s="281"/>
      <c r="I261" s="281"/>
      <c r="N261" s="281"/>
    </row>
    <row r="262" spans="8:14" ht="14.25" customHeight="1">
      <c r="H262" s="281"/>
      <c r="I262" s="281"/>
      <c r="N262" s="281"/>
    </row>
    <row r="263" spans="8:14" ht="14.25" customHeight="1">
      <c r="H263" s="281"/>
      <c r="I263" s="281"/>
      <c r="N263" s="281"/>
    </row>
    <row r="264" spans="8:14" ht="14.25" customHeight="1">
      <c r="H264" s="281"/>
      <c r="I264" s="281"/>
      <c r="N264" s="281"/>
    </row>
    <row r="265" spans="8:14" ht="14.25" customHeight="1">
      <c r="H265" s="281"/>
      <c r="I265" s="281"/>
      <c r="N265" s="281"/>
    </row>
    <row r="266" spans="8:14" ht="14.25" customHeight="1">
      <c r="H266" s="281"/>
      <c r="I266" s="281"/>
      <c r="N266" s="281"/>
    </row>
    <row r="267" spans="8:14" ht="14.25" customHeight="1">
      <c r="H267" s="281"/>
      <c r="I267" s="281"/>
      <c r="N267" s="281"/>
    </row>
    <row r="268" spans="8:14" ht="14.25" customHeight="1">
      <c r="H268" s="281"/>
      <c r="I268" s="281"/>
      <c r="N268" s="281"/>
    </row>
    <row r="269" spans="8:14" ht="14.25" customHeight="1">
      <c r="H269" s="281"/>
      <c r="I269" s="281"/>
      <c r="N269" s="281"/>
    </row>
    <row r="270" spans="8:14" ht="14.25" customHeight="1">
      <c r="H270" s="281"/>
      <c r="I270" s="281"/>
      <c r="N270" s="281"/>
    </row>
    <row r="271" spans="8:14" ht="14.25" customHeight="1">
      <c r="H271" s="281"/>
      <c r="I271" s="281"/>
      <c r="N271" s="281"/>
    </row>
    <row r="272" spans="8:14" ht="14.25" customHeight="1">
      <c r="H272" s="281"/>
      <c r="I272" s="281"/>
      <c r="N272" s="281"/>
    </row>
    <row r="273" spans="8:14" ht="14.25" customHeight="1">
      <c r="H273" s="281"/>
      <c r="I273" s="281"/>
      <c r="N273" s="281"/>
    </row>
    <row r="274" spans="8:14" ht="14.25" customHeight="1">
      <c r="H274" s="281"/>
      <c r="I274" s="281"/>
      <c r="N274" s="281"/>
    </row>
    <row r="275" spans="8:14" ht="14.25" customHeight="1">
      <c r="H275" s="281"/>
      <c r="I275" s="281"/>
      <c r="N275" s="281"/>
    </row>
    <row r="276" spans="8:14" ht="14.25" customHeight="1">
      <c r="H276" s="281"/>
      <c r="I276" s="281"/>
      <c r="N276" s="281"/>
    </row>
    <row r="277" spans="8:14" ht="14.25" customHeight="1">
      <c r="H277" s="281"/>
      <c r="I277" s="281"/>
      <c r="N277" s="281"/>
    </row>
    <row r="278" spans="8:14" ht="14.25" customHeight="1">
      <c r="H278" s="281"/>
      <c r="I278" s="281"/>
      <c r="N278" s="281"/>
    </row>
    <row r="279" spans="8:14" ht="14.25" customHeight="1">
      <c r="H279" s="281"/>
      <c r="I279" s="281"/>
      <c r="N279" s="281"/>
    </row>
    <row r="280" spans="8:14" ht="14.25" customHeight="1">
      <c r="H280" s="281"/>
      <c r="I280" s="281"/>
      <c r="N280" s="281"/>
    </row>
    <row r="281" spans="8:14" ht="14.25" customHeight="1">
      <c r="H281" s="281"/>
      <c r="I281" s="281"/>
      <c r="N281" s="281"/>
    </row>
    <row r="282" spans="8:14" ht="14.25" customHeight="1">
      <c r="H282" s="281"/>
      <c r="I282" s="281"/>
      <c r="N282" s="281"/>
    </row>
    <row r="283" spans="8:14" ht="14.25" customHeight="1">
      <c r="H283" s="281"/>
      <c r="I283" s="281"/>
      <c r="N283" s="281"/>
    </row>
    <row r="284" spans="8:14" ht="14.25" customHeight="1">
      <c r="H284" s="281"/>
      <c r="I284" s="281"/>
      <c r="N284" s="281"/>
    </row>
    <row r="285" spans="8:14" ht="14.25" customHeight="1">
      <c r="H285" s="281"/>
      <c r="I285" s="281"/>
      <c r="N285" s="281"/>
    </row>
    <row r="286" spans="8:14" ht="14.25" customHeight="1">
      <c r="H286" s="281"/>
      <c r="I286" s="281"/>
      <c r="N286" s="281"/>
    </row>
    <row r="287" spans="8:14" ht="14.25" customHeight="1">
      <c r="H287" s="281"/>
      <c r="I287" s="281"/>
      <c r="N287" s="281"/>
    </row>
    <row r="288" spans="8:14" ht="14.25" customHeight="1">
      <c r="H288" s="281"/>
      <c r="I288" s="281"/>
      <c r="N288" s="281"/>
    </row>
    <row r="289" spans="8:14" ht="14.25" customHeight="1">
      <c r="H289" s="281"/>
      <c r="I289" s="281"/>
      <c r="N289" s="281"/>
    </row>
    <row r="290" spans="8:14" ht="14.25" customHeight="1">
      <c r="H290" s="281"/>
      <c r="I290" s="281"/>
      <c r="N290" s="281"/>
    </row>
    <row r="291" spans="8:14" ht="14.25" customHeight="1">
      <c r="H291" s="281"/>
      <c r="I291" s="281"/>
      <c r="N291" s="281"/>
    </row>
    <row r="292" spans="8:14" ht="14.25" customHeight="1">
      <c r="H292" s="281"/>
      <c r="I292" s="281"/>
      <c r="N292" s="281"/>
    </row>
    <row r="293" spans="8:14" ht="14.25" customHeight="1">
      <c r="H293" s="281"/>
      <c r="I293" s="281"/>
      <c r="N293" s="281"/>
    </row>
    <row r="294" spans="8:14" ht="14.25" customHeight="1">
      <c r="H294" s="281"/>
      <c r="I294" s="281"/>
      <c r="N294" s="281"/>
    </row>
    <row r="295" spans="8:14" ht="14.25" customHeight="1">
      <c r="H295" s="281"/>
      <c r="I295" s="281"/>
      <c r="N295" s="281"/>
    </row>
    <row r="296" spans="8:14" ht="14.25" customHeight="1">
      <c r="H296" s="281"/>
      <c r="I296" s="281"/>
      <c r="N296" s="281"/>
    </row>
    <row r="297" spans="8:14" ht="14.25" customHeight="1">
      <c r="H297" s="281"/>
      <c r="I297" s="281"/>
      <c r="N297" s="281"/>
    </row>
    <row r="298" spans="8:14" ht="14.25" customHeight="1">
      <c r="H298" s="281"/>
      <c r="I298" s="281"/>
      <c r="N298" s="281"/>
    </row>
    <row r="299" spans="8:14" ht="14.25" customHeight="1">
      <c r="H299" s="281"/>
      <c r="I299" s="281"/>
      <c r="N299" s="281"/>
    </row>
    <row r="300" spans="8:14" ht="14.25" customHeight="1">
      <c r="H300" s="281"/>
      <c r="I300" s="281"/>
      <c r="N300" s="281"/>
    </row>
    <row r="301" spans="8:14" ht="14.25" customHeight="1">
      <c r="H301" s="281"/>
      <c r="I301" s="281"/>
      <c r="N301" s="281"/>
    </row>
    <row r="302" spans="8:14" ht="14.25" customHeight="1">
      <c r="H302" s="281"/>
      <c r="I302" s="281"/>
      <c r="N302" s="281"/>
    </row>
    <row r="303" spans="8:14" ht="14.25" customHeight="1">
      <c r="H303" s="281"/>
      <c r="I303" s="281"/>
      <c r="N303" s="281"/>
    </row>
    <row r="304" spans="8:14" ht="14.25" customHeight="1">
      <c r="H304" s="281"/>
      <c r="I304" s="281"/>
      <c r="N304" s="281"/>
    </row>
    <row r="305" spans="8:14" ht="14.25" customHeight="1">
      <c r="H305" s="281"/>
      <c r="I305" s="281"/>
      <c r="N305" s="281"/>
    </row>
    <row r="306" spans="8:14" ht="14.25" customHeight="1">
      <c r="H306" s="281"/>
      <c r="I306" s="281"/>
      <c r="N306" s="281"/>
    </row>
    <row r="307" spans="8:14" ht="14.25" customHeight="1">
      <c r="H307" s="281"/>
      <c r="I307" s="281"/>
      <c r="N307" s="281"/>
    </row>
    <row r="308" spans="8:14" ht="14.25" customHeight="1">
      <c r="H308" s="281"/>
      <c r="I308" s="281"/>
      <c r="N308" s="281"/>
    </row>
    <row r="309" spans="8:14" ht="14.25" customHeight="1">
      <c r="H309" s="281"/>
      <c r="I309" s="281"/>
      <c r="N309" s="281"/>
    </row>
    <row r="310" spans="8:14" ht="14.25" customHeight="1">
      <c r="H310" s="281"/>
      <c r="I310" s="281"/>
      <c r="N310" s="281"/>
    </row>
    <row r="311" spans="8:14" ht="14.25" customHeight="1">
      <c r="H311" s="281"/>
      <c r="I311" s="281"/>
      <c r="N311" s="281"/>
    </row>
    <row r="312" spans="8:14" ht="14.25" customHeight="1">
      <c r="H312" s="281"/>
      <c r="I312" s="281"/>
      <c r="N312" s="281"/>
    </row>
    <row r="313" spans="8:14" ht="14.25" customHeight="1">
      <c r="H313" s="281"/>
      <c r="I313" s="281"/>
      <c r="N313" s="281"/>
    </row>
    <row r="314" spans="8:14" ht="14.25" customHeight="1">
      <c r="H314" s="281"/>
      <c r="I314" s="281"/>
      <c r="N314" s="281"/>
    </row>
    <row r="315" spans="8:14" ht="14.25" customHeight="1">
      <c r="H315" s="281"/>
      <c r="I315" s="281"/>
      <c r="N315" s="281"/>
    </row>
    <row r="316" spans="8:14" ht="14.25" customHeight="1">
      <c r="H316" s="281"/>
      <c r="I316" s="281"/>
      <c r="N316" s="281"/>
    </row>
    <row r="317" spans="8:14" ht="14.25" customHeight="1">
      <c r="H317" s="281"/>
      <c r="I317" s="281"/>
      <c r="N317" s="281"/>
    </row>
    <row r="318" spans="8:14" ht="14.25" customHeight="1">
      <c r="H318" s="281"/>
      <c r="I318" s="281"/>
      <c r="N318" s="281"/>
    </row>
    <row r="319" spans="8:14" ht="14.25" customHeight="1">
      <c r="H319" s="281"/>
      <c r="I319" s="281"/>
      <c r="N319" s="281"/>
    </row>
    <row r="320" spans="8:14" ht="14.25" customHeight="1">
      <c r="H320" s="281"/>
      <c r="I320" s="281"/>
      <c r="N320" s="281"/>
    </row>
    <row r="321" spans="8:14" ht="14.25" customHeight="1">
      <c r="H321" s="281"/>
      <c r="I321" s="281"/>
      <c r="N321" s="281"/>
    </row>
    <row r="322" spans="8:14" ht="14.25" customHeight="1">
      <c r="H322" s="281"/>
      <c r="I322" s="281"/>
      <c r="N322" s="281"/>
    </row>
    <row r="323" spans="8:14" ht="14.25" customHeight="1">
      <c r="H323" s="281"/>
      <c r="I323" s="281"/>
      <c r="N323" s="281"/>
    </row>
    <row r="324" spans="8:14" ht="14.25" customHeight="1">
      <c r="H324" s="281"/>
      <c r="I324" s="281"/>
      <c r="N324" s="281"/>
    </row>
    <row r="325" spans="8:14" ht="14.25" customHeight="1">
      <c r="H325" s="281"/>
      <c r="I325" s="281"/>
      <c r="N325" s="281"/>
    </row>
    <row r="326" spans="8:14" ht="14.25" customHeight="1">
      <c r="H326" s="281"/>
      <c r="I326" s="281"/>
      <c r="N326" s="281"/>
    </row>
    <row r="327" spans="8:14" ht="14.25" customHeight="1">
      <c r="H327" s="281"/>
      <c r="I327" s="281"/>
      <c r="N327" s="281"/>
    </row>
    <row r="328" spans="8:14" ht="14.25" customHeight="1">
      <c r="H328" s="281"/>
      <c r="I328" s="281"/>
      <c r="N328" s="281"/>
    </row>
    <row r="329" spans="8:14" ht="14.25" customHeight="1">
      <c r="H329" s="281"/>
      <c r="I329" s="281"/>
      <c r="N329" s="281"/>
    </row>
    <row r="330" spans="8:14" ht="14.25" customHeight="1">
      <c r="H330" s="281"/>
      <c r="I330" s="281"/>
      <c r="N330" s="281"/>
    </row>
    <row r="331" spans="8:14" ht="14.25" customHeight="1">
      <c r="H331" s="281"/>
      <c r="I331" s="281"/>
      <c r="N331" s="281"/>
    </row>
    <row r="332" spans="8:14" ht="14.25" customHeight="1">
      <c r="H332" s="281"/>
      <c r="I332" s="281"/>
      <c r="N332" s="281"/>
    </row>
    <row r="333" spans="8:14" ht="14.25" customHeight="1">
      <c r="H333" s="281"/>
      <c r="I333" s="281"/>
      <c r="N333" s="281"/>
    </row>
    <row r="334" spans="8:14" ht="14.25" customHeight="1">
      <c r="H334" s="281"/>
      <c r="I334" s="281"/>
      <c r="N334" s="281"/>
    </row>
    <row r="335" spans="8:14" ht="14.25" customHeight="1">
      <c r="H335" s="281"/>
      <c r="I335" s="281"/>
      <c r="N335" s="281"/>
    </row>
    <row r="336" spans="8:14" ht="14.25" customHeight="1">
      <c r="H336" s="281"/>
      <c r="I336" s="281"/>
      <c r="N336" s="281"/>
    </row>
    <row r="337" spans="8:14" ht="14.25" customHeight="1">
      <c r="H337" s="281"/>
      <c r="I337" s="281"/>
      <c r="N337" s="281"/>
    </row>
    <row r="338" spans="8:14" ht="14.25" customHeight="1">
      <c r="H338" s="281"/>
      <c r="I338" s="281"/>
      <c r="N338" s="281"/>
    </row>
    <row r="339" spans="8:14" ht="14.25" customHeight="1">
      <c r="H339" s="281"/>
      <c r="I339" s="281"/>
      <c r="N339" s="281"/>
    </row>
    <row r="340" spans="8:14" ht="14.25" customHeight="1">
      <c r="H340" s="281"/>
      <c r="I340" s="281"/>
      <c r="N340" s="281"/>
    </row>
    <row r="341" spans="8:14" ht="14.25" customHeight="1">
      <c r="H341" s="281"/>
      <c r="I341" s="281"/>
      <c r="N341" s="281"/>
    </row>
    <row r="342" spans="8:14" ht="14.25" customHeight="1">
      <c r="H342" s="281"/>
      <c r="I342" s="281"/>
      <c r="N342" s="281"/>
    </row>
    <row r="343" spans="8:14" ht="14.25" customHeight="1">
      <c r="H343" s="281"/>
      <c r="I343" s="281"/>
      <c r="N343" s="281"/>
    </row>
    <row r="344" spans="8:14" ht="14.25" customHeight="1">
      <c r="H344" s="281"/>
      <c r="I344" s="281"/>
      <c r="N344" s="281"/>
    </row>
    <row r="345" spans="8:14" ht="14.25" customHeight="1">
      <c r="H345" s="281"/>
      <c r="I345" s="281"/>
      <c r="N345" s="281"/>
    </row>
    <row r="346" spans="8:14" ht="14.25" customHeight="1">
      <c r="H346" s="281"/>
      <c r="I346" s="281"/>
      <c r="N346" s="281"/>
    </row>
    <row r="347" spans="8:14" ht="14.25" customHeight="1">
      <c r="H347" s="281"/>
      <c r="I347" s="281"/>
      <c r="N347" s="281"/>
    </row>
    <row r="348" spans="8:14" ht="14.25" customHeight="1">
      <c r="H348" s="281"/>
      <c r="I348" s="281"/>
      <c r="N348" s="281"/>
    </row>
    <row r="349" spans="8:14" ht="14.25" customHeight="1">
      <c r="H349" s="281"/>
      <c r="I349" s="281"/>
      <c r="N349" s="281"/>
    </row>
    <row r="350" spans="8:14" ht="14.25" customHeight="1">
      <c r="H350" s="281"/>
      <c r="I350" s="281"/>
      <c r="N350" s="281"/>
    </row>
    <row r="351" spans="8:14" ht="14.25" customHeight="1">
      <c r="H351" s="281"/>
      <c r="I351" s="281"/>
      <c r="N351" s="281"/>
    </row>
    <row r="352" spans="8:14" ht="14.25" customHeight="1">
      <c r="H352" s="281"/>
      <c r="I352" s="281"/>
      <c r="N352" s="281"/>
    </row>
    <row r="353" spans="8:14" ht="14.25" customHeight="1">
      <c r="H353" s="281"/>
      <c r="I353" s="281"/>
      <c r="N353" s="281"/>
    </row>
    <row r="354" spans="8:14" ht="14.25" customHeight="1">
      <c r="H354" s="281"/>
      <c r="I354" s="281"/>
      <c r="N354" s="281"/>
    </row>
    <row r="355" spans="8:14" ht="14.25" customHeight="1">
      <c r="H355" s="281"/>
      <c r="I355" s="281"/>
      <c r="N355" s="281"/>
    </row>
    <row r="356" spans="8:14" ht="14.25" customHeight="1">
      <c r="H356" s="281"/>
      <c r="I356" s="281"/>
      <c r="N356" s="281"/>
    </row>
    <row r="357" spans="8:14" ht="14.25" customHeight="1">
      <c r="H357" s="281"/>
      <c r="I357" s="281"/>
      <c r="N357" s="281"/>
    </row>
    <row r="358" spans="8:14" ht="14.25" customHeight="1">
      <c r="H358" s="281"/>
      <c r="I358" s="281"/>
      <c r="N358" s="281"/>
    </row>
    <row r="359" spans="8:14" ht="14.25" customHeight="1">
      <c r="H359" s="281"/>
      <c r="I359" s="281"/>
      <c r="N359" s="281"/>
    </row>
    <row r="360" spans="8:14" ht="14.25" customHeight="1">
      <c r="H360" s="281"/>
      <c r="I360" s="281"/>
      <c r="N360" s="281"/>
    </row>
    <row r="361" spans="8:14" ht="14.25" customHeight="1">
      <c r="H361" s="281"/>
      <c r="I361" s="281"/>
      <c r="N361" s="281"/>
    </row>
    <row r="362" spans="8:14" ht="14.25" customHeight="1">
      <c r="H362" s="281"/>
      <c r="I362" s="281"/>
      <c r="N362" s="281"/>
    </row>
    <row r="363" spans="8:14" ht="14.25" customHeight="1">
      <c r="H363" s="281"/>
      <c r="I363" s="281"/>
      <c r="N363" s="281"/>
    </row>
    <row r="364" spans="8:14" ht="14.25" customHeight="1">
      <c r="H364" s="281"/>
      <c r="I364" s="281"/>
      <c r="N364" s="281"/>
    </row>
    <row r="365" spans="8:14" ht="14.25" customHeight="1">
      <c r="H365" s="281"/>
      <c r="I365" s="281"/>
      <c r="N365" s="281"/>
    </row>
    <row r="366" spans="8:14" ht="14.25" customHeight="1">
      <c r="H366" s="281"/>
      <c r="I366" s="281"/>
      <c r="N366" s="281"/>
    </row>
    <row r="367" spans="8:14" ht="14.25" customHeight="1">
      <c r="H367" s="281"/>
      <c r="I367" s="281"/>
      <c r="N367" s="281"/>
    </row>
    <row r="368" spans="8:14" ht="14.25" customHeight="1">
      <c r="H368" s="281"/>
      <c r="I368" s="281"/>
      <c r="N368" s="281"/>
    </row>
    <row r="369" spans="8:14" ht="14.25" customHeight="1">
      <c r="H369" s="281"/>
      <c r="I369" s="281"/>
      <c r="N369" s="281"/>
    </row>
    <row r="370" spans="8:14" ht="14.25" customHeight="1">
      <c r="H370" s="281"/>
      <c r="I370" s="281"/>
      <c r="N370" s="281"/>
    </row>
    <row r="371" spans="8:14" ht="14.25" customHeight="1">
      <c r="H371" s="281"/>
      <c r="I371" s="281"/>
      <c r="N371" s="281"/>
    </row>
    <row r="372" spans="8:14" ht="14.25" customHeight="1">
      <c r="H372" s="281"/>
      <c r="I372" s="281"/>
      <c r="N372" s="281"/>
    </row>
    <row r="373" spans="8:14" ht="14.25" customHeight="1">
      <c r="H373" s="281"/>
      <c r="I373" s="281"/>
      <c r="N373" s="281"/>
    </row>
    <row r="374" spans="8:14" ht="14.25" customHeight="1">
      <c r="H374" s="281"/>
      <c r="I374" s="281"/>
      <c r="N374" s="281"/>
    </row>
    <row r="375" spans="8:14" ht="14.25" customHeight="1">
      <c r="H375" s="281"/>
      <c r="I375" s="281"/>
      <c r="N375" s="281"/>
    </row>
    <row r="376" spans="8:14" ht="14.25" customHeight="1">
      <c r="H376" s="281"/>
      <c r="I376" s="281"/>
      <c r="N376" s="281"/>
    </row>
    <row r="377" spans="8:14" ht="14.25" customHeight="1">
      <c r="H377" s="281"/>
      <c r="I377" s="281"/>
      <c r="N377" s="281"/>
    </row>
    <row r="378" spans="8:14" ht="14.25" customHeight="1">
      <c r="H378" s="281"/>
      <c r="I378" s="281"/>
      <c r="N378" s="281"/>
    </row>
    <row r="379" spans="8:14" ht="14.25" customHeight="1">
      <c r="H379" s="281"/>
      <c r="I379" s="281"/>
      <c r="N379" s="281"/>
    </row>
    <row r="380" spans="8:14" ht="14.25" customHeight="1">
      <c r="H380" s="281"/>
      <c r="I380" s="281"/>
      <c r="N380" s="281"/>
    </row>
    <row r="381" spans="8:14" ht="14.25" customHeight="1">
      <c r="H381" s="281"/>
      <c r="I381" s="281"/>
      <c r="N381" s="281"/>
    </row>
    <row r="382" spans="8:14" ht="14.25" customHeight="1">
      <c r="H382" s="281"/>
      <c r="I382" s="281"/>
      <c r="N382" s="281"/>
    </row>
    <row r="383" spans="8:14" ht="14.25" customHeight="1">
      <c r="H383" s="281"/>
      <c r="I383" s="281"/>
      <c r="N383" s="281"/>
    </row>
    <row r="384" spans="8:14" ht="14.25" customHeight="1">
      <c r="H384" s="281"/>
      <c r="I384" s="281"/>
      <c r="N384" s="281"/>
    </row>
    <row r="385" spans="8:14" ht="14.25" customHeight="1">
      <c r="H385" s="281"/>
      <c r="I385" s="281"/>
      <c r="N385" s="281"/>
    </row>
    <row r="386" spans="8:14" ht="14.25" customHeight="1">
      <c r="H386" s="281"/>
      <c r="I386" s="281"/>
      <c r="N386" s="281"/>
    </row>
    <row r="387" spans="8:14" ht="14.25" customHeight="1">
      <c r="H387" s="281"/>
      <c r="I387" s="281"/>
      <c r="N387" s="281"/>
    </row>
    <row r="388" spans="8:14" ht="14.25" customHeight="1">
      <c r="H388" s="281"/>
      <c r="I388" s="281"/>
      <c r="N388" s="281"/>
    </row>
    <row r="389" spans="8:14" ht="14.25" customHeight="1">
      <c r="H389" s="281"/>
      <c r="I389" s="281"/>
      <c r="N389" s="281"/>
    </row>
    <row r="390" spans="8:14" ht="14.25" customHeight="1">
      <c r="H390" s="281"/>
      <c r="I390" s="281"/>
      <c r="N390" s="281"/>
    </row>
    <row r="391" spans="8:14" ht="14.25" customHeight="1">
      <c r="H391" s="281"/>
      <c r="I391" s="281"/>
      <c r="N391" s="281"/>
    </row>
    <row r="392" spans="8:14" ht="14.25" customHeight="1">
      <c r="H392" s="281"/>
      <c r="I392" s="281"/>
      <c r="N392" s="281"/>
    </row>
    <row r="393" spans="8:14" ht="14.25" customHeight="1">
      <c r="H393" s="281"/>
      <c r="I393" s="281"/>
      <c r="N393" s="281"/>
    </row>
    <row r="394" spans="8:14" ht="14.25" customHeight="1">
      <c r="H394" s="281"/>
      <c r="I394" s="281"/>
      <c r="N394" s="281"/>
    </row>
    <row r="395" spans="8:14" ht="14.25" customHeight="1">
      <c r="H395" s="281"/>
      <c r="I395" s="281"/>
      <c r="N395" s="281"/>
    </row>
    <row r="396" spans="8:14" ht="14.25" customHeight="1">
      <c r="H396" s="281"/>
      <c r="I396" s="281"/>
      <c r="N396" s="281"/>
    </row>
    <row r="397" spans="8:14" ht="14.25" customHeight="1">
      <c r="H397" s="281"/>
      <c r="I397" s="281"/>
      <c r="N397" s="281"/>
    </row>
    <row r="398" spans="8:14" ht="14.25" customHeight="1">
      <c r="H398" s="281"/>
      <c r="I398" s="281"/>
      <c r="N398" s="281"/>
    </row>
    <row r="399" spans="8:14" ht="14.25" customHeight="1">
      <c r="H399" s="281"/>
      <c r="I399" s="281"/>
      <c r="N399" s="281"/>
    </row>
    <row r="400" spans="8:14" ht="14.25" customHeight="1">
      <c r="H400" s="281"/>
      <c r="I400" s="281"/>
      <c r="N400" s="281"/>
    </row>
    <row r="401" spans="8:14" ht="14.25" customHeight="1">
      <c r="H401" s="281"/>
      <c r="I401" s="281"/>
      <c r="N401" s="281"/>
    </row>
    <row r="402" spans="8:14" ht="14.25" customHeight="1">
      <c r="H402" s="281"/>
      <c r="I402" s="281"/>
      <c r="N402" s="281"/>
    </row>
    <row r="403" spans="8:14" ht="14.25" customHeight="1">
      <c r="H403" s="281"/>
      <c r="I403" s="281"/>
      <c r="N403" s="281"/>
    </row>
    <row r="404" spans="8:14" ht="14.25" customHeight="1">
      <c r="H404" s="281"/>
      <c r="I404" s="281"/>
      <c r="N404" s="281"/>
    </row>
    <row r="405" spans="8:14" ht="14.25" customHeight="1">
      <c r="H405" s="281"/>
      <c r="I405" s="281"/>
      <c r="N405" s="281"/>
    </row>
    <row r="406" spans="8:14" ht="14.25" customHeight="1">
      <c r="H406" s="281"/>
      <c r="I406" s="281"/>
      <c r="N406" s="281"/>
    </row>
    <row r="407" spans="8:14" ht="14.25" customHeight="1">
      <c r="H407" s="281"/>
      <c r="I407" s="281"/>
      <c r="N407" s="281"/>
    </row>
    <row r="408" spans="8:14" ht="14.25" customHeight="1">
      <c r="H408" s="281"/>
      <c r="I408" s="281"/>
      <c r="N408" s="281"/>
    </row>
    <row r="409" spans="8:14" ht="14.25" customHeight="1">
      <c r="H409" s="281"/>
      <c r="I409" s="281"/>
      <c r="N409" s="281"/>
    </row>
    <row r="410" spans="8:14" ht="14.25" customHeight="1">
      <c r="H410" s="281"/>
      <c r="I410" s="281"/>
      <c r="N410" s="281"/>
    </row>
    <row r="411" spans="8:14" ht="14.25" customHeight="1">
      <c r="H411" s="281"/>
      <c r="I411" s="281"/>
      <c r="N411" s="281"/>
    </row>
    <row r="412" spans="8:14" ht="14.25" customHeight="1">
      <c r="H412" s="281"/>
      <c r="I412" s="281"/>
      <c r="N412" s="281"/>
    </row>
    <row r="413" spans="8:14" ht="14.25" customHeight="1">
      <c r="H413" s="281"/>
      <c r="I413" s="281"/>
      <c r="N413" s="281"/>
    </row>
    <row r="414" spans="8:14" ht="14.25" customHeight="1">
      <c r="H414" s="281"/>
      <c r="I414" s="281"/>
      <c r="N414" s="281"/>
    </row>
    <row r="415" spans="8:14" ht="14.25" customHeight="1">
      <c r="H415" s="281"/>
      <c r="I415" s="281"/>
      <c r="N415" s="281"/>
    </row>
    <row r="416" spans="8:14" ht="14.25" customHeight="1">
      <c r="H416" s="281"/>
      <c r="I416" s="281"/>
      <c r="N416" s="281"/>
    </row>
    <row r="417" spans="8:14" ht="14.25" customHeight="1">
      <c r="H417" s="281"/>
      <c r="I417" s="281"/>
      <c r="N417" s="281"/>
    </row>
    <row r="418" spans="8:14" ht="14.25" customHeight="1">
      <c r="H418" s="281"/>
      <c r="I418" s="281"/>
      <c r="N418" s="281"/>
    </row>
    <row r="419" spans="8:14" ht="14.25" customHeight="1">
      <c r="H419" s="281"/>
      <c r="I419" s="281"/>
      <c r="N419" s="281"/>
    </row>
    <row r="420" spans="8:14" ht="14.25" customHeight="1">
      <c r="H420" s="281"/>
      <c r="I420" s="281"/>
      <c r="N420" s="281"/>
    </row>
    <row r="421" spans="8:14" ht="14.25" customHeight="1">
      <c r="H421" s="281"/>
      <c r="I421" s="281"/>
      <c r="N421" s="281"/>
    </row>
    <row r="422" spans="8:14" ht="14.25" customHeight="1">
      <c r="H422" s="281"/>
      <c r="I422" s="281"/>
      <c r="N422" s="281"/>
    </row>
    <row r="423" spans="8:14" ht="14.25" customHeight="1">
      <c r="H423" s="281"/>
      <c r="I423" s="281"/>
      <c r="N423" s="281"/>
    </row>
    <row r="424" spans="8:14" ht="14.25" customHeight="1">
      <c r="H424" s="281"/>
      <c r="I424" s="281"/>
      <c r="N424" s="281"/>
    </row>
    <row r="425" spans="8:14" ht="14.25" customHeight="1">
      <c r="H425" s="281"/>
      <c r="I425" s="281"/>
      <c r="N425" s="281"/>
    </row>
    <row r="426" spans="8:14" ht="14.25" customHeight="1">
      <c r="H426" s="281"/>
      <c r="I426" s="281"/>
      <c r="N426" s="281"/>
    </row>
    <row r="427" spans="8:14" ht="14.25" customHeight="1">
      <c r="H427" s="281"/>
      <c r="I427" s="281"/>
      <c r="N427" s="281"/>
    </row>
    <row r="428" spans="8:14" ht="14.25" customHeight="1">
      <c r="H428" s="281"/>
      <c r="I428" s="281"/>
      <c r="N428" s="281"/>
    </row>
    <row r="429" spans="8:14" ht="14.25" customHeight="1">
      <c r="H429" s="281"/>
      <c r="I429" s="281"/>
      <c r="N429" s="281"/>
    </row>
    <row r="430" spans="8:14" ht="14.25" customHeight="1">
      <c r="H430" s="281"/>
      <c r="I430" s="281"/>
      <c r="N430" s="281"/>
    </row>
    <row r="431" spans="8:14" ht="14.25" customHeight="1">
      <c r="H431" s="281"/>
      <c r="I431" s="281"/>
      <c r="N431" s="281"/>
    </row>
    <row r="432" spans="8:14" ht="14.25" customHeight="1">
      <c r="H432" s="281"/>
      <c r="I432" s="281"/>
      <c r="N432" s="281"/>
    </row>
    <row r="433" spans="8:14" ht="14.25" customHeight="1">
      <c r="H433" s="281"/>
      <c r="I433" s="281"/>
      <c r="N433" s="281"/>
    </row>
    <row r="434" spans="8:14" ht="14.25" customHeight="1">
      <c r="H434" s="281"/>
      <c r="I434" s="281"/>
      <c r="N434" s="281"/>
    </row>
    <row r="435" spans="8:14" ht="14.25" customHeight="1">
      <c r="H435" s="281"/>
      <c r="I435" s="281"/>
      <c r="N435" s="281"/>
    </row>
    <row r="436" spans="8:14" ht="14.25" customHeight="1">
      <c r="H436" s="281"/>
      <c r="I436" s="281"/>
      <c r="N436" s="281"/>
    </row>
    <row r="437" spans="8:14" ht="14.25" customHeight="1">
      <c r="H437" s="281"/>
      <c r="I437" s="281"/>
      <c r="N437" s="281"/>
    </row>
    <row r="438" spans="8:14" ht="14.25" customHeight="1">
      <c r="H438" s="281"/>
      <c r="I438" s="281"/>
      <c r="N438" s="281"/>
    </row>
    <row r="439" spans="8:14" ht="14.25" customHeight="1">
      <c r="H439" s="281"/>
      <c r="I439" s="281"/>
      <c r="N439" s="281"/>
    </row>
    <row r="440" spans="8:14" ht="14.25" customHeight="1">
      <c r="H440" s="281"/>
      <c r="I440" s="281"/>
      <c r="N440" s="281"/>
    </row>
    <row r="441" spans="8:14" ht="14.25" customHeight="1">
      <c r="H441" s="281"/>
      <c r="I441" s="281"/>
      <c r="N441" s="281"/>
    </row>
    <row r="442" spans="8:14" ht="14.25" customHeight="1">
      <c r="H442" s="281"/>
      <c r="I442" s="281"/>
      <c r="N442" s="281"/>
    </row>
    <row r="443" spans="8:14" ht="14.25" customHeight="1">
      <c r="H443" s="281"/>
      <c r="I443" s="281"/>
      <c r="N443" s="281"/>
    </row>
    <row r="444" spans="8:14" ht="14.25" customHeight="1">
      <c r="H444" s="281"/>
      <c r="I444" s="281"/>
      <c r="N444" s="281"/>
    </row>
    <row r="445" spans="8:14" ht="14.25" customHeight="1">
      <c r="H445" s="281"/>
      <c r="I445" s="281"/>
      <c r="N445" s="281"/>
    </row>
    <row r="446" spans="8:14" ht="14.25" customHeight="1">
      <c r="H446" s="281"/>
      <c r="I446" s="281"/>
      <c r="N446" s="281"/>
    </row>
    <row r="447" spans="8:14" ht="14.25" customHeight="1">
      <c r="H447" s="281"/>
      <c r="I447" s="281"/>
      <c r="N447" s="281"/>
    </row>
    <row r="448" spans="8:14" ht="14.25" customHeight="1">
      <c r="H448" s="281"/>
      <c r="I448" s="281"/>
      <c r="N448" s="281"/>
    </row>
    <row r="449" spans="8:14" ht="14.25" customHeight="1">
      <c r="H449" s="281"/>
      <c r="I449" s="281"/>
      <c r="N449" s="281"/>
    </row>
    <row r="450" spans="8:14" ht="14.25" customHeight="1">
      <c r="H450" s="281"/>
      <c r="I450" s="281"/>
      <c r="N450" s="281"/>
    </row>
    <row r="451" spans="8:14" ht="14.25" customHeight="1">
      <c r="H451" s="281"/>
      <c r="I451" s="281"/>
      <c r="N451" s="281"/>
    </row>
    <row r="452" spans="8:14" ht="14.25" customHeight="1">
      <c r="H452" s="281"/>
      <c r="I452" s="281"/>
      <c r="N452" s="281"/>
    </row>
    <row r="453" spans="8:14" ht="14.25" customHeight="1">
      <c r="H453" s="281"/>
      <c r="I453" s="281"/>
      <c r="N453" s="281"/>
    </row>
    <row r="454" spans="8:14" ht="14.25" customHeight="1">
      <c r="H454" s="281"/>
      <c r="I454" s="281"/>
      <c r="N454" s="281"/>
    </row>
    <row r="455" spans="8:14" ht="14.25" customHeight="1">
      <c r="H455" s="281"/>
      <c r="I455" s="281"/>
      <c r="N455" s="281"/>
    </row>
    <row r="456" spans="8:14" ht="14.25" customHeight="1">
      <c r="H456" s="281"/>
      <c r="I456" s="281"/>
      <c r="N456" s="281"/>
    </row>
    <row r="457" spans="8:14" ht="14.25" customHeight="1">
      <c r="H457" s="281"/>
      <c r="I457" s="281"/>
      <c r="N457" s="281"/>
    </row>
    <row r="458" spans="8:14" ht="14.25" customHeight="1">
      <c r="H458" s="281"/>
      <c r="I458" s="281"/>
      <c r="N458" s="281"/>
    </row>
    <row r="459" spans="8:14" ht="14.25" customHeight="1">
      <c r="H459" s="281"/>
      <c r="I459" s="281"/>
      <c r="N459" s="281"/>
    </row>
    <row r="460" spans="8:14" ht="14.25" customHeight="1">
      <c r="H460" s="281"/>
      <c r="I460" s="281"/>
      <c r="N460" s="281"/>
    </row>
    <row r="461" spans="8:14" ht="14.25" customHeight="1">
      <c r="H461" s="281"/>
      <c r="I461" s="281"/>
      <c r="N461" s="281"/>
    </row>
    <row r="462" spans="8:14" ht="14.25" customHeight="1">
      <c r="H462" s="281"/>
      <c r="I462" s="281"/>
      <c r="N462" s="281"/>
    </row>
    <row r="463" spans="8:14" ht="14.25" customHeight="1">
      <c r="H463" s="281"/>
      <c r="I463" s="281"/>
      <c r="N463" s="281"/>
    </row>
    <row r="464" spans="8:14" ht="14.25" customHeight="1">
      <c r="H464" s="281"/>
      <c r="I464" s="281"/>
      <c r="N464" s="281"/>
    </row>
    <row r="465" spans="8:14" ht="14.25" customHeight="1">
      <c r="H465" s="281"/>
      <c r="I465" s="281"/>
      <c r="N465" s="281"/>
    </row>
    <row r="466" spans="8:14" ht="14.25" customHeight="1">
      <c r="H466" s="281"/>
      <c r="I466" s="281"/>
      <c r="N466" s="281"/>
    </row>
    <row r="467" spans="8:14" ht="14.25" customHeight="1">
      <c r="H467" s="281"/>
      <c r="I467" s="281"/>
      <c r="N467" s="281"/>
    </row>
    <row r="468" spans="8:14" ht="14.25" customHeight="1">
      <c r="H468" s="281"/>
      <c r="I468" s="281"/>
      <c r="N468" s="281"/>
    </row>
    <row r="469" spans="8:14" ht="14.25" customHeight="1">
      <c r="H469" s="281"/>
      <c r="I469" s="281"/>
      <c r="N469" s="281"/>
    </row>
    <row r="470" spans="8:14" ht="14.25" customHeight="1">
      <c r="H470" s="281"/>
      <c r="I470" s="281"/>
      <c r="N470" s="281"/>
    </row>
    <row r="471" spans="8:14" ht="14.25" customHeight="1">
      <c r="H471" s="281"/>
      <c r="I471" s="281"/>
      <c r="N471" s="281"/>
    </row>
    <row r="472" spans="8:14" ht="14.25" customHeight="1">
      <c r="H472" s="281"/>
      <c r="I472" s="281"/>
      <c r="N472" s="281"/>
    </row>
    <row r="473" spans="8:14" ht="14.25" customHeight="1">
      <c r="H473" s="281"/>
      <c r="I473" s="281"/>
      <c r="N473" s="281"/>
    </row>
    <row r="474" spans="8:14" ht="14.25" customHeight="1">
      <c r="H474" s="281"/>
      <c r="I474" s="281"/>
      <c r="N474" s="281"/>
    </row>
    <row r="475" spans="8:14" ht="14.25" customHeight="1">
      <c r="H475" s="281"/>
      <c r="I475" s="281"/>
      <c r="N475" s="281"/>
    </row>
    <row r="476" spans="8:14" ht="14.25" customHeight="1">
      <c r="H476" s="281"/>
      <c r="I476" s="281"/>
      <c r="N476" s="281"/>
    </row>
    <row r="477" spans="8:14" ht="14.25" customHeight="1">
      <c r="H477" s="281"/>
      <c r="I477" s="281"/>
      <c r="N477" s="281"/>
    </row>
    <row r="478" spans="8:14" ht="14.25" customHeight="1">
      <c r="H478" s="281"/>
      <c r="I478" s="281"/>
      <c r="N478" s="281"/>
    </row>
    <row r="479" spans="8:14" ht="14.25" customHeight="1">
      <c r="H479" s="281"/>
      <c r="I479" s="281"/>
      <c r="N479" s="281"/>
    </row>
    <row r="480" spans="8:14" ht="14.25" customHeight="1">
      <c r="H480" s="281"/>
      <c r="I480" s="281"/>
      <c r="N480" s="281"/>
    </row>
    <row r="481" spans="8:14" ht="14.25" customHeight="1">
      <c r="H481" s="281"/>
      <c r="I481" s="281"/>
      <c r="N481" s="281"/>
    </row>
    <row r="482" spans="8:14" ht="14.25" customHeight="1">
      <c r="H482" s="281"/>
      <c r="I482" s="281"/>
      <c r="N482" s="281"/>
    </row>
    <row r="483" spans="8:14" ht="14.25" customHeight="1">
      <c r="H483" s="281"/>
      <c r="I483" s="281"/>
      <c r="N483" s="281"/>
    </row>
    <row r="484" spans="8:14" ht="14.25" customHeight="1">
      <c r="H484" s="281"/>
      <c r="I484" s="281"/>
      <c r="N484" s="281"/>
    </row>
    <row r="485" spans="8:14" ht="14.25" customHeight="1">
      <c r="H485" s="281"/>
      <c r="I485" s="281"/>
      <c r="N485" s="281"/>
    </row>
    <row r="486" spans="8:14" ht="14.25" customHeight="1">
      <c r="H486" s="281"/>
      <c r="I486" s="281"/>
      <c r="N486" s="281"/>
    </row>
    <row r="487" spans="8:14" ht="14.25" customHeight="1">
      <c r="H487" s="281"/>
      <c r="I487" s="281"/>
      <c r="N487" s="281"/>
    </row>
    <row r="488" spans="8:14" ht="14.25" customHeight="1">
      <c r="H488" s="281"/>
      <c r="I488" s="281"/>
      <c r="N488" s="281"/>
    </row>
    <row r="489" spans="8:14" ht="14.25" customHeight="1">
      <c r="H489" s="281"/>
      <c r="I489" s="281"/>
      <c r="N489" s="281"/>
    </row>
    <row r="490" spans="8:14" ht="14.25" customHeight="1">
      <c r="H490" s="281"/>
      <c r="I490" s="281"/>
      <c r="N490" s="281"/>
    </row>
    <row r="491" spans="8:14" ht="14.25" customHeight="1">
      <c r="H491" s="281"/>
      <c r="I491" s="281"/>
      <c r="N491" s="281"/>
    </row>
    <row r="492" spans="8:14" ht="14.25" customHeight="1">
      <c r="H492" s="281"/>
      <c r="I492" s="281"/>
      <c r="N492" s="281"/>
    </row>
    <row r="493" spans="8:14" ht="14.25" customHeight="1">
      <c r="H493" s="281"/>
      <c r="I493" s="281"/>
      <c r="N493" s="281"/>
    </row>
    <row r="494" spans="8:14" ht="14.25" customHeight="1">
      <c r="H494" s="281"/>
      <c r="I494" s="281"/>
      <c r="N494" s="281"/>
    </row>
    <row r="495" spans="8:14" ht="14.25" customHeight="1">
      <c r="H495" s="281"/>
      <c r="I495" s="281"/>
      <c r="N495" s="281"/>
    </row>
    <row r="496" spans="8:14" ht="14.25" customHeight="1">
      <c r="H496" s="281"/>
      <c r="I496" s="281"/>
      <c r="N496" s="281"/>
    </row>
    <row r="497" spans="8:14" ht="14.25" customHeight="1">
      <c r="H497" s="281"/>
      <c r="I497" s="281"/>
      <c r="N497" s="281"/>
    </row>
    <row r="498" spans="8:14" ht="14.25" customHeight="1">
      <c r="H498" s="281"/>
      <c r="I498" s="281"/>
      <c r="N498" s="281"/>
    </row>
    <row r="499" spans="8:14" ht="14.25" customHeight="1">
      <c r="H499" s="281"/>
      <c r="I499" s="281"/>
      <c r="N499" s="281"/>
    </row>
    <row r="500" spans="8:14" ht="14.25" customHeight="1">
      <c r="H500" s="281"/>
      <c r="I500" s="281"/>
      <c r="N500" s="281"/>
    </row>
    <row r="501" spans="8:14" ht="14.25" customHeight="1">
      <c r="H501" s="281"/>
      <c r="I501" s="281"/>
      <c r="N501" s="281"/>
    </row>
    <row r="502" spans="8:14" ht="14.25" customHeight="1">
      <c r="H502" s="281"/>
      <c r="I502" s="281"/>
      <c r="N502" s="281"/>
    </row>
    <row r="503" spans="8:14" ht="14.25" customHeight="1">
      <c r="H503" s="281"/>
      <c r="I503" s="281"/>
      <c r="N503" s="281"/>
    </row>
    <row r="504" spans="8:14" ht="14.25" customHeight="1">
      <c r="H504" s="281"/>
      <c r="I504" s="281"/>
      <c r="N504" s="281"/>
    </row>
    <row r="505" spans="8:14" ht="14.25" customHeight="1">
      <c r="H505" s="281"/>
      <c r="I505" s="281"/>
      <c r="N505" s="281"/>
    </row>
    <row r="506" spans="8:14" ht="14.25" customHeight="1">
      <c r="H506" s="281"/>
      <c r="I506" s="281"/>
      <c r="N506" s="281"/>
    </row>
    <row r="507" spans="8:14" ht="14.25" customHeight="1">
      <c r="H507" s="281"/>
      <c r="I507" s="281"/>
      <c r="N507" s="281"/>
    </row>
    <row r="508" spans="8:14" ht="14.25" customHeight="1">
      <c r="H508" s="281"/>
      <c r="I508" s="281"/>
      <c r="N508" s="281"/>
    </row>
    <row r="509" spans="8:14" ht="14.25" customHeight="1">
      <c r="H509" s="281"/>
      <c r="I509" s="281"/>
      <c r="N509" s="281"/>
    </row>
    <row r="510" spans="8:14" ht="14.25" customHeight="1">
      <c r="H510" s="281"/>
      <c r="I510" s="281"/>
      <c r="N510" s="281"/>
    </row>
    <row r="511" spans="8:14" ht="14.25" customHeight="1">
      <c r="H511" s="281"/>
      <c r="I511" s="281"/>
      <c r="N511" s="281"/>
    </row>
    <row r="512" spans="8:14" ht="14.25" customHeight="1">
      <c r="H512" s="281"/>
      <c r="I512" s="281"/>
      <c r="N512" s="281"/>
    </row>
    <row r="513" spans="8:14" ht="14.25" customHeight="1">
      <c r="H513" s="281"/>
      <c r="I513" s="281"/>
      <c r="N513" s="281"/>
    </row>
    <row r="514" spans="8:14" ht="14.25" customHeight="1">
      <c r="H514" s="281"/>
      <c r="I514" s="281"/>
      <c r="N514" s="281"/>
    </row>
    <row r="515" spans="8:14" ht="14.25" customHeight="1">
      <c r="H515" s="281"/>
      <c r="I515" s="281"/>
      <c r="N515" s="281"/>
    </row>
    <row r="516" spans="8:14" ht="14.25" customHeight="1">
      <c r="H516" s="281"/>
      <c r="I516" s="281"/>
      <c r="N516" s="281"/>
    </row>
    <row r="517" spans="8:14" ht="14.25" customHeight="1">
      <c r="H517" s="281"/>
      <c r="I517" s="281"/>
      <c r="N517" s="281"/>
    </row>
    <row r="518" spans="8:14" ht="14.25" customHeight="1">
      <c r="H518" s="281"/>
      <c r="I518" s="281"/>
      <c r="N518" s="281"/>
    </row>
    <row r="519" spans="8:14" ht="14.25" customHeight="1">
      <c r="H519" s="281"/>
      <c r="I519" s="281"/>
      <c r="N519" s="281"/>
    </row>
    <row r="520" spans="8:14" ht="14.25" customHeight="1">
      <c r="H520" s="281"/>
      <c r="I520" s="281"/>
      <c r="N520" s="281"/>
    </row>
    <row r="521" spans="8:14" ht="14.25" customHeight="1">
      <c r="H521" s="281"/>
      <c r="I521" s="281"/>
      <c r="N521" s="281"/>
    </row>
    <row r="522" spans="8:14" ht="14.25" customHeight="1">
      <c r="H522" s="281"/>
      <c r="I522" s="281"/>
      <c r="N522" s="281"/>
    </row>
    <row r="523" spans="8:14" ht="14.25" customHeight="1">
      <c r="H523" s="281"/>
      <c r="I523" s="281"/>
      <c r="N523" s="281"/>
    </row>
    <row r="524" spans="8:14" ht="14.25" customHeight="1">
      <c r="H524" s="281"/>
      <c r="I524" s="281"/>
      <c r="N524" s="281"/>
    </row>
    <row r="525" spans="8:14" ht="14.25" customHeight="1">
      <c r="H525" s="281"/>
      <c r="I525" s="281"/>
      <c r="N525" s="281"/>
    </row>
    <row r="526" spans="8:14" ht="14.25" customHeight="1">
      <c r="H526" s="281"/>
      <c r="I526" s="281"/>
      <c r="N526" s="281"/>
    </row>
    <row r="527" spans="8:14" ht="14.25" customHeight="1">
      <c r="H527" s="281"/>
      <c r="I527" s="281"/>
      <c r="N527" s="281"/>
    </row>
    <row r="528" spans="8:14" ht="14.25" customHeight="1">
      <c r="H528" s="281"/>
      <c r="I528" s="281"/>
      <c r="N528" s="281"/>
    </row>
    <row r="529" spans="8:14" ht="14.25" customHeight="1">
      <c r="H529" s="281"/>
      <c r="I529" s="281"/>
      <c r="N529" s="281"/>
    </row>
    <row r="530" spans="8:14" ht="14.25" customHeight="1">
      <c r="H530" s="281"/>
      <c r="I530" s="281"/>
      <c r="N530" s="281"/>
    </row>
    <row r="531" spans="8:14" ht="14.25" customHeight="1">
      <c r="H531" s="281"/>
      <c r="I531" s="281"/>
      <c r="N531" s="281"/>
    </row>
    <row r="532" spans="8:14" ht="14.25" customHeight="1">
      <c r="H532" s="281"/>
      <c r="I532" s="281"/>
      <c r="N532" s="281"/>
    </row>
    <row r="533" spans="8:14" ht="14.25" customHeight="1">
      <c r="H533" s="281"/>
      <c r="I533" s="281"/>
      <c r="N533" s="281"/>
    </row>
    <row r="534" spans="8:14" ht="14.25" customHeight="1">
      <c r="H534" s="281"/>
      <c r="I534" s="281"/>
      <c r="N534" s="281"/>
    </row>
    <row r="535" spans="8:14" ht="14.25" customHeight="1">
      <c r="H535" s="281"/>
      <c r="I535" s="281"/>
      <c r="N535" s="281"/>
    </row>
    <row r="536" spans="8:14" ht="14.25" customHeight="1">
      <c r="H536" s="281"/>
      <c r="I536" s="281"/>
      <c r="N536" s="281"/>
    </row>
    <row r="537" spans="8:14" ht="14.25" customHeight="1">
      <c r="H537" s="281"/>
      <c r="I537" s="281"/>
      <c r="N537" s="281"/>
    </row>
    <row r="538" spans="8:14" ht="14.25" customHeight="1">
      <c r="H538" s="281"/>
      <c r="I538" s="281"/>
      <c r="N538" s="281"/>
    </row>
    <row r="539" spans="8:14" ht="14.25" customHeight="1">
      <c r="H539" s="281"/>
      <c r="I539" s="281"/>
      <c r="N539" s="281"/>
    </row>
    <row r="540" spans="8:14" ht="14.25" customHeight="1">
      <c r="H540" s="281"/>
      <c r="I540" s="281"/>
      <c r="N540" s="281"/>
    </row>
    <row r="541" spans="8:14" ht="14.25" customHeight="1">
      <c r="H541" s="281"/>
      <c r="I541" s="281"/>
      <c r="N541" s="281"/>
    </row>
    <row r="542" spans="8:14" ht="14.25" customHeight="1">
      <c r="H542" s="281"/>
      <c r="I542" s="281"/>
      <c r="N542" s="281"/>
    </row>
    <row r="543" spans="8:14" ht="14.25" customHeight="1">
      <c r="H543" s="281"/>
      <c r="I543" s="281"/>
      <c r="N543" s="281"/>
    </row>
    <row r="544" spans="8:14" ht="14.25" customHeight="1">
      <c r="H544" s="281"/>
      <c r="I544" s="281"/>
      <c r="N544" s="281"/>
    </row>
    <row r="545" spans="8:14" ht="14.25" customHeight="1">
      <c r="H545" s="281"/>
      <c r="I545" s="281"/>
      <c r="N545" s="281"/>
    </row>
    <row r="546" spans="8:14" ht="14.25" customHeight="1">
      <c r="H546" s="281"/>
      <c r="I546" s="281"/>
      <c r="N546" s="281"/>
    </row>
    <row r="547" spans="8:14" ht="14.25" customHeight="1">
      <c r="H547" s="281"/>
      <c r="I547" s="281"/>
      <c r="N547" s="281"/>
    </row>
    <row r="548" spans="8:14" ht="14.25" customHeight="1">
      <c r="H548" s="281"/>
      <c r="I548" s="281"/>
      <c r="N548" s="281"/>
    </row>
    <row r="549" spans="8:14" ht="14.25" customHeight="1">
      <c r="H549" s="281"/>
      <c r="I549" s="281"/>
      <c r="N549" s="281"/>
    </row>
    <row r="550" spans="8:14" ht="14.25" customHeight="1">
      <c r="H550" s="281"/>
      <c r="I550" s="281"/>
      <c r="N550" s="281"/>
    </row>
    <row r="551" spans="8:14" ht="14.25" customHeight="1">
      <c r="H551" s="281"/>
      <c r="I551" s="281"/>
      <c r="N551" s="281"/>
    </row>
    <row r="552" spans="8:14" ht="14.25" customHeight="1">
      <c r="H552" s="281"/>
      <c r="I552" s="281"/>
      <c r="N552" s="281"/>
    </row>
    <row r="553" spans="8:14" ht="14.25" customHeight="1">
      <c r="H553" s="281"/>
      <c r="I553" s="281"/>
      <c r="N553" s="281"/>
    </row>
    <row r="554" spans="8:14" ht="14.25" customHeight="1">
      <c r="H554" s="281"/>
      <c r="I554" s="281"/>
      <c r="N554" s="281"/>
    </row>
    <row r="555" spans="8:14" ht="14.25" customHeight="1">
      <c r="H555" s="281"/>
      <c r="I555" s="281"/>
      <c r="N555" s="281"/>
    </row>
    <row r="556" spans="8:14" ht="14.25" customHeight="1">
      <c r="H556" s="281"/>
      <c r="I556" s="281"/>
      <c r="N556" s="281"/>
    </row>
    <row r="557" spans="8:14" ht="14.25" customHeight="1">
      <c r="H557" s="281"/>
      <c r="I557" s="281"/>
      <c r="N557" s="281"/>
    </row>
    <row r="558" spans="8:14" ht="14.25" customHeight="1">
      <c r="H558" s="281"/>
      <c r="I558" s="281"/>
      <c r="N558" s="281"/>
    </row>
    <row r="559" spans="8:14" ht="14.25" customHeight="1">
      <c r="H559" s="281"/>
      <c r="I559" s="281"/>
      <c r="N559" s="281"/>
    </row>
    <row r="560" spans="8:14" ht="14.25" customHeight="1">
      <c r="H560" s="281"/>
      <c r="I560" s="281"/>
      <c r="N560" s="281"/>
    </row>
    <row r="561" spans="8:14" ht="14.25" customHeight="1">
      <c r="H561" s="281"/>
      <c r="I561" s="281"/>
      <c r="N561" s="281"/>
    </row>
    <row r="562" spans="8:14" ht="14.25" customHeight="1">
      <c r="H562" s="281"/>
      <c r="I562" s="281"/>
      <c r="N562" s="281"/>
    </row>
    <row r="563" spans="8:14" ht="14.25" customHeight="1">
      <c r="H563" s="281"/>
      <c r="I563" s="281"/>
      <c r="N563" s="281"/>
    </row>
    <row r="564" spans="8:14" ht="14.25" customHeight="1">
      <c r="H564" s="281"/>
      <c r="I564" s="281"/>
      <c r="N564" s="281"/>
    </row>
    <row r="565" spans="8:14" ht="14.25" customHeight="1">
      <c r="H565" s="281"/>
      <c r="I565" s="281"/>
      <c r="N565" s="281"/>
    </row>
    <row r="566" spans="8:14" ht="14.25" customHeight="1">
      <c r="H566" s="281"/>
      <c r="I566" s="281"/>
      <c r="N566" s="281"/>
    </row>
    <row r="567" spans="8:14" ht="14.25" customHeight="1">
      <c r="H567" s="281"/>
      <c r="I567" s="281"/>
      <c r="N567" s="281"/>
    </row>
    <row r="568" spans="8:14" ht="14.25" customHeight="1">
      <c r="H568" s="281"/>
      <c r="I568" s="281"/>
      <c r="N568" s="281"/>
    </row>
    <row r="569" spans="8:14" ht="14.25" customHeight="1">
      <c r="H569" s="281"/>
      <c r="I569" s="281"/>
      <c r="N569" s="281"/>
    </row>
    <row r="570" spans="8:14" ht="14.25" customHeight="1">
      <c r="H570" s="281"/>
      <c r="I570" s="281"/>
      <c r="N570" s="281"/>
    </row>
    <row r="571" spans="8:14" ht="14.25" customHeight="1">
      <c r="H571" s="281"/>
      <c r="I571" s="281"/>
      <c r="N571" s="281"/>
    </row>
    <row r="572" spans="8:14" ht="14.25" customHeight="1">
      <c r="H572" s="281"/>
      <c r="I572" s="281"/>
      <c r="N572" s="281"/>
    </row>
    <row r="573" spans="8:14" ht="14.25" customHeight="1">
      <c r="H573" s="281"/>
      <c r="I573" s="281"/>
      <c r="N573" s="281"/>
    </row>
    <row r="574" spans="8:14" ht="14.25" customHeight="1">
      <c r="H574" s="281"/>
      <c r="I574" s="281"/>
      <c r="N574" s="281"/>
    </row>
    <row r="575" spans="8:14" ht="14.25" customHeight="1">
      <c r="H575" s="281"/>
      <c r="I575" s="281"/>
      <c r="N575" s="281"/>
    </row>
    <row r="576" spans="8:14" ht="14.25" customHeight="1">
      <c r="H576" s="281"/>
      <c r="I576" s="281"/>
      <c r="N576" s="281"/>
    </row>
    <row r="577" spans="8:14" ht="14.25" customHeight="1">
      <c r="H577" s="281"/>
      <c r="I577" s="281"/>
      <c r="N577" s="281"/>
    </row>
    <row r="578" spans="8:14" ht="14.25" customHeight="1">
      <c r="H578" s="281"/>
      <c r="I578" s="281"/>
      <c r="N578" s="281"/>
    </row>
    <row r="579" spans="8:14" ht="14.25" customHeight="1">
      <c r="H579" s="281"/>
      <c r="I579" s="281"/>
      <c r="N579" s="281"/>
    </row>
    <row r="580" spans="8:14" ht="14.25" customHeight="1">
      <c r="H580" s="281"/>
      <c r="I580" s="281"/>
      <c r="N580" s="281"/>
    </row>
    <row r="581" spans="8:14" ht="14.25" customHeight="1">
      <c r="H581" s="281"/>
      <c r="I581" s="281"/>
      <c r="N581" s="281"/>
    </row>
    <row r="582" spans="8:14" ht="14.25" customHeight="1">
      <c r="H582" s="281"/>
      <c r="I582" s="281"/>
      <c r="N582" s="281"/>
    </row>
    <row r="583" spans="8:14" ht="14.25" customHeight="1">
      <c r="H583" s="281"/>
      <c r="I583" s="281"/>
      <c r="N583" s="281"/>
    </row>
    <row r="584" spans="8:14" ht="14.25" customHeight="1">
      <c r="H584" s="281"/>
      <c r="I584" s="281"/>
      <c r="N584" s="281"/>
    </row>
    <row r="585" spans="8:14" ht="14.25" customHeight="1">
      <c r="H585" s="281"/>
      <c r="I585" s="281"/>
      <c r="N585" s="281"/>
    </row>
    <row r="586" spans="8:14" ht="14.25" customHeight="1">
      <c r="H586" s="281"/>
      <c r="I586" s="281"/>
      <c r="N586" s="281"/>
    </row>
    <row r="587" spans="8:14" ht="14.25" customHeight="1">
      <c r="H587" s="281"/>
      <c r="I587" s="281"/>
      <c r="N587" s="281"/>
    </row>
    <row r="588" spans="8:14" ht="14.25" customHeight="1">
      <c r="H588" s="281"/>
      <c r="I588" s="281"/>
      <c r="N588" s="281"/>
    </row>
    <row r="589" spans="8:14" ht="14.25" customHeight="1">
      <c r="H589" s="281"/>
      <c r="I589" s="281"/>
      <c r="N589" s="281"/>
    </row>
    <row r="590" spans="8:14" ht="14.25" customHeight="1">
      <c r="H590" s="281"/>
      <c r="I590" s="281"/>
      <c r="N590" s="281"/>
    </row>
    <row r="591" spans="8:14" ht="14.25" customHeight="1">
      <c r="H591" s="281"/>
      <c r="I591" s="281"/>
      <c r="N591" s="281"/>
    </row>
    <row r="592" spans="8:14" ht="14.25" customHeight="1">
      <c r="H592" s="281"/>
      <c r="I592" s="281"/>
      <c r="N592" s="281"/>
    </row>
    <row r="593" spans="8:14" ht="14.25" customHeight="1">
      <c r="H593" s="281"/>
      <c r="I593" s="281"/>
      <c r="N593" s="281"/>
    </row>
    <row r="594" spans="8:14" ht="14.25" customHeight="1">
      <c r="H594" s="281"/>
      <c r="I594" s="281"/>
      <c r="N594" s="281"/>
    </row>
    <row r="595" spans="8:14" ht="14.25" customHeight="1">
      <c r="H595" s="281"/>
      <c r="I595" s="281"/>
      <c r="N595" s="281"/>
    </row>
    <row r="596" spans="8:14" ht="14.25" customHeight="1">
      <c r="H596" s="281"/>
      <c r="I596" s="281"/>
      <c r="N596" s="281"/>
    </row>
    <row r="597" spans="8:14" ht="14.25" customHeight="1">
      <c r="H597" s="281"/>
      <c r="I597" s="281"/>
      <c r="N597" s="281"/>
    </row>
    <row r="598" spans="8:14" ht="14.25" customHeight="1">
      <c r="H598" s="281"/>
      <c r="I598" s="281"/>
      <c r="N598" s="281"/>
    </row>
    <row r="599" spans="8:14" ht="14.25" customHeight="1">
      <c r="H599" s="281"/>
      <c r="I599" s="281"/>
      <c r="N599" s="281"/>
    </row>
    <row r="600" spans="8:14" ht="14.25" customHeight="1">
      <c r="H600" s="281"/>
      <c r="I600" s="281"/>
      <c r="N600" s="281"/>
    </row>
    <row r="601" spans="8:14" ht="14.25" customHeight="1">
      <c r="H601" s="281"/>
      <c r="I601" s="281"/>
      <c r="N601" s="281"/>
    </row>
    <row r="602" spans="8:14" ht="14.25" customHeight="1">
      <c r="H602" s="281"/>
      <c r="I602" s="281"/>
      <c r="N602" s="281"/>
    </row>
    <row r="603" spans="8:14" ht="14.25" customHeight="1">
      <c r="H603" s="281"/>
      <c r="I603" s="281"/>
      <c r="N603" s="281"/>
    </row>
    <row r="604" spans="8:14" ht="14.25" customHeight="1">
      <c r="H604" s="281"/>
      <c r="I604" s="281"/>
      <c r="N604" s="281"/>
    </row>
    <row r="605" spans="8:14" ht="14.25" customHeight="1">
      <c r="H605" s="281"/>
      <c r="I605" s="281"/>
      <c r="N605" s="281"/>
    </row>
    <row r="606" spans="8:14" ht="14.25" customHeight="1">
      <c r="H606" s="281"/>
      <c r="I606" s="281"/>
      <c r="N606" s="281"/>
    </row>
    <row r="607" spans="8:14" ht="14.25" customHeight="1">
      <c r="H607" s="281"/>
      <c r="I607" s="281"/>
      <c r="N607" s="281"/>
    </row>
    <row r="608" spans="8:14" ht="14.25" customHeight="1">
      <c r="H608" s="281"/>
      <c r="I608" s="281"/>
      <c r="N608" s="281"/>
    </row>
    <row r="609" spans="8:14" ht="14.25" customHeight="1">
      <c r="H609" s="281"/>
      <c r="I609" s="281"/>
      <c r="N609" s="281"/>
    </row>
    <row r="610" spans="8:14" ht="14.25" customHeight="1">
      <c r="H610" s="281"/>
      <c r="I610" s="281"/>
      <c r="N610" s="281"/>
    </row>
    <row r="611" spans="8:14" ht="14.25" customHeight="1">
      <c r="H611" s="281"/>
      <c r="I611" s="281"/>
      <c r="N611" s="281"/>
    </row>
    <row r="612" spans="8:14" ht="14.25" customHeight="1">
      <c r="H612" s="281"/>
      <c r="I612" s="281"/>
      <c r="N612" s="281"/>
    </row>
    <row r="613" spans="8:14" ht="14.25" customHeight="1">
      <c r="H613" s="281"/>
      <c r="I613" s="281"/>
      <c r="N613" s="281"/>
    </row>
    <row r="614" spans="8:14" ht="14.25" customHeight="1">
      <c r="H614" s="281"/>
      <c r="I614" s="281"/>
      <c r="N614" s="281"/>
    </row>
    <row r="615" spans="8:14" ht="14.25" customHeight="1">
      <c r="H615" s="281"/>
      <c r="I615" s="281"/>
      <c r="N615" s="281"/>
    </row>
    <row r="616" spans="8:14" ht="14.25" customHeight="1">
      <c r="H616" s="281"/>
      <c r="I616" s="281"/>
      <c r="N616" s="281"/>
    </row>
    <row r="617" spans="8:14" ht="14.25" customHeight="1">
      <c r="H617" s="281"/>
      <c r="I617" s="281"/>
      <c r="N617" s="281"/>
    </row>
    <row r="618" spans="8:14" ht="14.25" customHeight="1">
      <c r="H618" s="281"/>
      <c r="I618" s="281"/>
      <c r="N618" s="281"/>
    </row>
    <row r="619" spans="8:14" ht="14.25" customHeight="1">
      <c r="H619" s="281"/>
      <c r="I619" s="281"/>
      <c r="N619" s="281"/>
    </row>
    <row r="620" spans="8:14" ht="14.25" customHeight="1">
      <c r="H620" s="281"/>
      <c r="I620" s="281"/>
      <c r="N620" s="281"/>
    </row>
    <row r="621" spans="8:14" ht="14.25" customHeight="1">
      <c r="H621" s="281"/>
      <c r="I621" s="281"/>
      <c r="N621" s="281"/>
    </row>
    <row r="622" spans="8:14" ht="14.25" customHeight="1">
      <c r="H622" s="281"/>
      <c r="I622" s="281"/>
      <c r="N622" s="281"/>
    </row>
    <row r="623" spans="8:14" ht="14.25" customHeight="1">
      <c r="H623" s="281"/>
      <c r="I623" s="281"/>
      <c r="N623" s="281"/>
    </row>
    <row r="624" spans="8:14" ht="14.25" customHeight="1">
      <c r="H624" s="281"/>
      <c r="I624" s="281"/>
      <c r="N624" s="281"/>
    </row>
    <row r="625" spans="8:14" ht="14.25" customHeight="1">
      <c r="H625" s="281"/>
      <c r="I625" s="281"/>
      <c r="N625" s="281"/>
    </row>
    <row r="626" spans="8:14" ht="14.25" customHeight="1">
      <c r="H626" s="281"/>
      <c r="I626" s="281"/>
      <c r="N626" s="281"/>
    </row>
    <row r="627" spans="8:14" ht="14.25" customHeight="1">
      <c r="H627" s="281"/>
      <c r="I627" s="281"/>
      <c r="N627" s="281"/>
    </row>
    <row r="628" spans="8:14" ht="14.25" customHeight="1">
      <c r="H628" s="281"/>
      <c r="I628" s="281"/>
      <c r="N628" s="281"/>
    </row>
    <row r="629" spans="8:14" ht="14.25" customHeight="1">
      <c r="H629" s="281"/>
      <c r="I629" s="281"/>
      <c r="N629" s="281"/>
    </row>
    <row r="630" spans="8:14" ht="14.25" customHeight="1">
      <c r="H630" s="281"/>
      <c r="I630" s="281"/>
      <c r="N630" s="281"/>
    </row>
    <row r="631" spans="8:14" ht="14.25" customHeight="1">
      <c r="H631" s="281"/>
      <c r="I631" s="281"/>
      <c r="N631" s="281"/>
    </row>
    <row r="632" spans="8:14" ht="14.25" customHeight="1">
      <c r="H632" s="281"/>
      <c r="I632" s="281"/>
      <c r="N632" s="281"/>
    </row>
    <row r="633" spans="8:14" ht="14.25" customHeight="1">
      <c r="H633" s="281"/>
      <c r="I633" s="281"/>
      <c r="N633" s="281"/>
    </row>
    <row r="634" spans="8:14" ht="14.25" customHeight="1">
      <c r="H634" s="281"/>
      <c r="I634" s="281"/>
      <c r="N634" s="281"/>
    </row>
    <row r="635" spans="8:14" ht="14.25" customHeight="1">
      <c r="H635" s="281"/>
      <c r="I635" s="281"/>
      <c r="N635" s="281"/>
    </row>
    <row r="636" spans="8:14" ht="14.25" customHeight="1">
      <c r="H636" s="281"/>
      <c r="I636" s="281"/>
      <c r="N636" s="281"/>
    </row>
    <row r="637" spans="8:14" ht="14.25" customHeight="1">
      <c r="H637" s="281"/>
      <c r="I637" s="281"/>
      <c r="N637" s="281"/>
    </row>
    <row r="638" spans="8:14" ht="14.25" customHeight="1">
      <c r="H638" s="281"/>
      <c r="I638" s="281"/>
      <c r="N638" s="281"/>
    </row>
    <row r="639" spans="8:14" ht="14.25" customHeight="1">
      <c r="H639" s="281"/>
      <c r="I639" s="281"/>
      <c r="N639" s="281"/>
    </row>
    <row r="640" spans="8:14" ht="14.25" customHeight="1">
      <c r="H640" s="281"/>
      <c r="I640" s="281"/>
      <c r="N640" s="281"/>
    </row>
    <row r="641" spans="8:14" ht="14.25" customHeight="1">
      <c r="H641" s="281"/>
      <c r="I641" s="281"/>
      <c r="N641" s="281"/>
    </row>
    <row r="642" spans="8:14" ht="14.25" customHeight="1">
      <c r="H642" s="281"/>
      <c r="I642" s="281"/>
      <c r="N642" s="281"/>
    </row>
    <row r="643" spans="8:14" ht="14.25" customHeight="1">
      <c r="H643" s="281"/>
      <c r="I643" s="281"/>
      <c r="N643" s="281"/>
    </row>
    <row r="644" spans="8:14" ht="14.25" customHeight="1">
      <c r="H644" s="281"/>
      <c r="I644" s="281"/>
      <c r="N644" s="281"/>
    </row>
    <row r="645" spans="8:14" ht="14.25" customHeight="1">
      <c r="H645" s="281"/>
      <c r="I645" s="281"/>
      <c r="N645" s="281"/>
    </row>
    <row r="646" spans="8:14" ht="14.25" customHeight="1">
      <c r="H646" s="281"/>
      <c r="I646" s="281"/>
      <c r="N646" s="281"/>
    </row>
    <row r="647" spans="8:14" ht="14.25" customHeight="1">
      <c r="H647" s="281"/>
      <c r="I647" s="281"/>
      <c r="N647" s="281"/>
    </row>
    <row r="648" spans="8:14" ht="14.25" customHeight="1">
      <c r="H648" s="281"/>
      <c r="I648" s="281"/>
      <c r="N648" s="281"/>
    </row>
    <row r="649" spans="8:14" ht="14.25" customHeight="1">
      <c r="H649" s="281"/>
      <c r="I649" s="281"/>
      <c r="N649" s="281"/>
    </row>
    <row r="650" spans="8:14" ht="14.25" customHeight="1">
      <c r="H650" s="281"/>
      <c r="I650" s="281"/>
      <c r="N650" s="281"/>
    </row>
    <row r="651" spans="8:14" ht="14.25" customHeight="1">
      <c r="H651" s="281"/>
      <c r="I651" s="281"/>
      <c r="N651" s="281"/>
    </row>
    <row r="652" spans="8:14" ht="14.25" customHeight="1">
      <c r="H652" s="281"/>
      <c r="I652" s="281"/>
      <c r="N652" s="281"/>
    </row>
    <row r="653" spans="8:14" ht="14.25" customHeight="1">
      <c r="H653" s="281"/>
      <c r="I653" s="281"/>
      <c r="N653" s="281"/>
    </row>
    <row r="654" spans="8:14" ht="14.25" customHeight="1">
      <c r="H654" s="281"/>
      <c r="I654" s="281"/>
      <c r="N654" s="281"/>
    </row>
    <row r="655" spans="8:14" ht="14.25" customHeight="1">
      <c r="H655" s="281"/>
      <c r="I655" s="281"/>
      <c r="N655" s="281"/>
    </row>
    <row r="656" spans="8:14" ht="14.25" customHeight="1">
      <c r="H656" s="281"/>
      <c r="I656" s="281"/>
      <c r="N656" s="281"/>
    </row>
    <row r="657" spans="8:14" ht="14.25" customHeight="1">
      <c r="H657" s="281"/>
      <c r="I657" s="281"/>
      <c r="N657" s="281"/>
    </row>
    <row r="658" spans="8:14" ht="14.25" customHeight="1">
      <c r="H658" s="281"/>
      <c r="I658" s="281"/>
      <c r="N658" s="281"/>
    </row>
    <row r="659" spans="8:14" ht="14.25" customHeight="1">
      <c r="H659" s="281"/>
      <c r="I659" s="281"/>
      <c r="N659" s="281"/>
    </row>
    <row r="660" spans="8:14" ht="14.25" customHeight="1">
      <c r="H660" s="281"/>
      <c r="I660" s="281"/>
      <c r="N660" s="281"/>
    </row>
    <row r="661" spans="8:14" ht="14.25" customHeight="1">
      <c r="H661" s="281"/>
      <c r="I661" s="281"/>
      <c r="N661" s="281"/>
    </row>
    <row r="662" spans="8:14" ht="14.25" customHeight="1">
      <c r="H662" s="281"/>
      <c r="I662" s="281"/>
      <c r="N662" s="281"/>
    </row>
    <row r="663" spans="8:14" ht="14.25" customHeight="1">
      <c r="H663" s="281"/>
      <c r="I663" s="281"/>
      <c r="N663" s="281"/>
    </row>
    <row r="664" spans="8:14" ht="14.25" customHeight="1">
      <c r="H664" s="281"/>
      <c r="I664" s="281"/>
      <c r="N664" s="281"/>
    </row>
    <row r="665" spans="8:14" ht="14.25" customHeight="1">
      <c r="H665" s="281"/>
      <c r="I665" s="281"/>
      <c r="N665" s="281"/>
    </row>
    <row r="666" spans="8:14" ht="14.25" customHeight="1">
      <c r="H666" s="281"/>
      <c r="I666" s="281"/>
      <c r="N666" s="281"/>
    </row>
    <row r="667" spans="8:14" ht="14.25" customHeight="1">
      <c r="H667" s="281"/>
      <c r="I667" s="281"/>
      <c r="N667" s="281"/>
    </row>
    <row r="668" spans="8:14" ht="14.25" customHeight="1">
      <c r="H668" s="281"/>
      <c r="I668" s="281"/>
      <c r="N668" s="281"/>
    </row>
    <row r="669" spans="8:14" ht="14.25" customHeight="1">
      <c r="H669" s="281"/>
      <c r="I669" s="281"/>
      <c r="N669" s="281"/>
    </row>
    <row r="670" spans="8:14" ht="14.25" customHeight="1">
      <c r="H670" s="281"/>
      <c r="I670" s="281"/>
      <c r="N670" s="281"/>
    </row>
    <row r="671" spans="8:14" ht="14.25" customHeight="1">
      <c r="H671" s="281"/>
      <c r="I671" s="281"/>
      <c r="N671" s="281"/>
    </row>
    <row r="672" spans="8:14" ht="14.25" customHeight="1">
      <c r="H672" s="281"/>
      <c r="I672" s="281"/>
      <c r="N672" s="281"/>
    </row>
    <row r="673" spans="8:14" ht="14.25" customHeight="1">
      <c r="H673" s="281"/>
      <c r="I673" s="281"/>
      <c r="N673" s="281"/>
    </row>
    <row r="674" spans="8:14" ht="14.25" customHeight="1">
      <c r="H674" s="281"/>
      <c r="I674" s="281"/>
      <c r="N674" s="281"/>
    </row>
    <row r="675" spans="8:14" ht="14.25" customHeight="1">
      <c r="H675" s="281"/>
      <c r="I675" s="281"/>
      <c r="N675" s="281"/>
    </row>
    <row r="676" spans="8:14" ht="14.25" customHeight="1">
      <c r="H676" s="281"/>
      <c r="I676" s="281"/>
      <c r="N676" s="281"/>
    </row>
    <row r="677" spans="8:14" ht="14.25" customHeight="1">
      <c r="H677" s="281"/>
      <c r="I677" s="281"/>
      <c r="N677" s="281"/>
    </row>
    <row r="678" spans="8:14" ht="14.25" customHeight="1">
      <c r="H678" s="281"/>
      <c r="I678" s="281"/>
      <c r="N678" s="281"/>
    </row>
    <row r="679" spans="8:14" ht="14.25" customHeight="1">
      <c r="H679" s="281"/>
      <c r="I679" s="281"/>
      <c r="N679" s="281"/>
    </row>
    <row r="680" spans="8:14" ht="14.25" customHeight="1">
      <c r="H680" s="281"/>
      <c r="I680" s="281"/>
      <c r="N680" s="281"/>
    </row>
    <row r="681" spans="8:14" ht="14.25" customHeight="1">
      <c r="H681" s="281"/>
      <c r="I681" s="281"/>
      <c r="N681" s="281"/>
    </row>
    <row r="682" spans="8:14" ht="14.25" customHeight="1">
      <c r="H682" s="281"/>
      <c r="I682" s="281"/>
      <c r="N682" s="281"/>
    </row>
    <row r="683" spans="8:14" ht="14.25" customHeight="1">
      <c r="H683" s="281"/>
      <c r="I683" s="281"/>
      <c r="N683" s="281"/>
    </row>
    <row r="684" spans="8:14" ht="14.25" customHeight="1">
      <c r="H684" s="281"/>
      <c r="I684" s="281"/>
      <c r="N684" s="281"/>
    </row>
    <row r="685" spans="8:14" ht="14.25" customHeight="1">
      <c r="H685" s="281"/>
      <c r="I685" s="281"/>
      <c r="N685" s="281"/>
    </row>
    <row r="686" spans="8:14" ht="14.25" customHeight="1">
      <c r="H686" s="281"/>
      <c r="I686" s="281"/>
      <c r="N686" s="281"/>
    </row>
    <row r="687" spans="8:14" ht="14.25" customHeight="1">
      <c r="H687" s="281"/>
      <c r="I687" s="281"/>
      <c r="N687" s="281"/>
    </row>
    <row r="688" spans="8:14" ht="14.25" customHeight="1">
      <c r="H688" s="281"/>
      <c r="I688" s="281"/>
      <c r="N688" s="281"/>
    </row>
    <row r="689" spans="8:14" ht="14.25" customHeight="1">
      <c r="H689" s="281"/>
      <c r="I689" s="281"/>
      <c r="N689" s="281"/>
    </row>
    <row r="690" spans="8:14" ht="14.25" customHeight="1">
      <c r="H690" s="281"/>
      <c r="I690" s="281"/>
      <c r="N690" s="281"/>
    </row>
    <row r="691" spans="8:14" ht="14.25" customHeight="1">
      <c r="H691" s="281"/>
      <c r="I691" s="281"/>
      <c r="N691" s="281"/>
    </row>
    <row r="692" spans="8:14" ht="14.25" customHeight="1">
      <c r="H692" s="281"/>
      <c r="I692" s="281"/>
      <c r="N692" s="281"/>
    </row>
    <row r="693" spans="8:14" ht="14.25" customHeight="1">
      <c r="H693" s="281"/>
      <c r="I693" s="281"/>
      <c r="N693" s="281"/>
    </row>
    <row r="694" spans="8:14" ht="14.25" customHeight="1">
      <c r="H694" s="281"/>
      <c r="I694" s="281"/>
      <c r="N694" s="281"/>
    </row>
    <row r="695" spans="8:14" ht="14.25" customHeight="1">
      <c r="H695" s="281"/>
      <c r="I695" s="281"/>
      <c r="N695" s="281"/>
    </row>
    <row r="696" spans="8:14" ht="14.25" customHeight="1">
      <c r="H696" s="281"/>
      <c r="I696" s="281"/>
      <c r="N696" s="281"/>
    </row>
    <row r="697" spans="8:14" ht="14.25" customHeight="1">
      <c r="H697" s="281"/>
      <c r="I697" s="281"/>
      <c r="N697" s="281"/>
    </row>
    <row r="698" spans="8:14" ht="14.25" customHeight="1">
      <c r="H698" s="281"/>
      <c r="I698" s="281"/>
      <c r="N698" s="281"/>
    </row>
    <row r="699" spans="8:14" ht="14.25" customHeight="1">
      <c r="H699" s="281"/>
      <c r="I699" s="281"/>
      <c r="N699" s="281"/>
    </row>
    <row r="700" spans="8:14" ht="14.25" customHeight="1">
      <c r="H700" s="281"/>
      <c r="I700" s="281"/>
      <c r="N700" s="281"/>
    </row>
    <row r="701" spans="8:14" ht="14.25" customHeight="1">
      <c r="H701" s="281"/>
      <c r="I701" s="281"/>
      <c r="N701" s="281"/>
    </row>
    <row r="702" spans="8:14" ht="14.25" customHeight="1">
      <c r="H702" s="281"/>
      <c r="I702" s="281"/>
      <c r="N702" s="281"/>
    </row>
    <row r="703" spans="8:14" ht="14.25" customHeight="1">
      <c r="H703" s="281"/>
      <c r="I703" s="281"/>
      <c r="N703" s="281"/>
    </row>
    <row r="704" spans="8:14" ht="14.25" customHeight="1">
      <c r="H704" s="281"/>
      <c r="I704" s="281"/>
      <c r="N704" s="281"/>
    </row>
    <row r="705" spans="8:14" ht="14.25" customHeight="1">
      <c r="H705" s="281"/>
      <c r="I705" s="281"/>
      <c r="N705" s="281"/>
    </row>
    <row r="706" spans="8:14" ht="14.25" customHeight="1">
      <c r="H706" s="281"/>
      <c r="I706" s="281"/>
      <c r="N706" s="281"/>
    </row>
    <row r="707" spans="8:14" ht="14.25" customHeight="1">
      <c r="H707" s="281"/>
      <c r="I707" s="281"/>
      <c r="N707" s="281"/>
    </row>
    <row r="708" spans="8:14" ht="14.25" customHeight="1">
      <c r="H708" s="281"/>
      <c r="I708" s="281"/>
      <c r="N708" s="281"/>
    </row>
    <row r="709" spans="8:14" ht="14.25" customHeight="1">
      <c r="H709" s="281"/>
      <c r="I709" s="281"/>
      <c r="N709" s="281"/>
    </row>
    <row r="710" spans="8:14" ht="14.25" customHeight="1">
      <c r="H710" s="281"/>
      <c r="I710" s="281"/>
      <c r="N710" s="281"/>
    </row>
    <row r="711" spans="8:14" ht="14.25" customHeight="1">
      <c r="H711" s="281"/>
      <c r="I711" s="281"/>
      <c r="N711" s="281"/>
    </row>
    <row r="712" spans="8:14" ht="14.25" customHeight="1">
      <c r="H712" s="281"/>
      <c r="I712" s="281"/>
      <c r="N712" s="281"/>
    </row>
    <row r="713" spans="8:14" ht="14.25" customHeight="1">
      <c r="H713" s="281"/>
      <c r="I713" s="281"/>
      <c r="N713" s="281"/>
    </row>
    <row r="714" spans="8:14" ht="14.25" customHeight="1">
      <c r="H714" s="281"/>
      <c r="I714" s="281"/>
      <c r="N714" s="281"/>
    </row>
    <row r="715" spans="8:14" ht="14.25" customHeight="1">
      <c r="H715" s="281"/>
      <c r="I715" s="281"/>
      <c r="N715" s="281"/>
    </row>
    <row r="716" spans="8:14" ht="14.25" customHeight="1">
      <c r="H716" s="281"/>
      <c r="I716" s="281"/>
      <c r="N716" s="281"/>
    </row>
    <row r="717" spans="8:14" ht="14.25" customHeight="1">
      <c r="H717" s="281"/>
      <c r="I717" s="281"/>
      <c r="N717" s="281"/>
    </row>
    <row r="718" spans="8:14" ht="14.25" customHeight="1">
      <c r="H718" s="281"/>
      <c r="I718" s="281"/>
      <c r="N718" s="281"/>
    </row>
    <row r="719" spans="8:14" ht="14.25" customHeight="1">
      <c r="H719" s="281"/>
      <c r="I719" s="281"/>
      <c r="N719" s="281"/>
    </row>
    <row r="720" spans="8:14" ht="14.25" customHeight="1">
      <c r="H720" s="281"/>
      <c r="I720" s="281"/>
      <c r="N720" s="281"/>
    </row>
    <row r="721" spans="8:14" ht="14.25" customHeight="1">
      <c r="H721" s="281"/>
      <c r="I721" s="281"/>
      <c r="N721" s="281"/>
    </row>
    <row r="722" spans="8:14" ht="14.25" customHeight="1">
      <c r="H722" s="281"/>
      <c r="I722" s="281"/>
      <c r="N722" s="281"/>
    </row>
    <row r="723" spans="8:14" ht="14.25" customHeight="1">
      <c r="H723" s="281"/>
      <c r="I723" s="281"/>
      <c r="N723" s="281"/>
    </row>
    <row r="724" spans="8:14" ht="14.25" customHeight="1">
      <c r="H724" s="281"/>
      <c r="I724" s="281"/>
      <c r="N724" s="281"/>
    </row>
    <row r="725" spans="8:14" ht="14.25" customHeight="1">
      <c r="H725" s="281"/>
      <c r="I725" s="281"/>
      <c r="N725" s="281"/>
    </row>
    <row r="726" spans="8:14" ht="14.25" customHeight="1">
      <c r="H726" s="281"/>
      <c r="I726" s="281"/>
      <c r="N726" s="281"/>
    </row>
    <row r="727" spans="8:14" ht="14.25" customHeight="1">
      <c r="H727" s="281"/>
      <c r="I727" s="281"/>
      <c r="N727" s="281"/>
    </row>
    <row r="728" spans="8:14" ht="14.25" customHeight="1">
      <c r="H728" s="281"/>
      <c r="I728" s="281"/>
      <c r="N728" s="281"/>
    </row>
    <row r="729" spans="8:14" ht="14.25" customHeight="1">
      <c r="H729" s="281"/>
      <c r="I729" s="281"/>
      <c r="N729" s="281"/>
    </row>
    <row r="730" spans="8:14" ht="14.25" customHeight="1">
      <c r="H730" s="281"/>
      <c r="I730" s="281"/>
      <c r="N730" s="281"/>
    </row>
    <row r="731" spans="8:14" ht="14.25" customHeight="1">
      <c r="H731" s="281"/>
      <c r="I731" s="281"/>
      <c r="N731" s="281"/>
    </row>
    <row r="732" spans="8:14" ht="14.25" customHeight="1">
      <c r="H732" s="281"/>
      <c r="I732" s="281"/>
      <c r="N732" s="281"/>
    </row>
    <row r="733" spans="8:14" ht="14.25" customHeight="1">
      <c r="H733" s="281"/>
      <c r="I733" s="281"/>
      <c r="N733" s="281"/>
    </row>
    <row r="734" spans="8:14" ht="14.25" customHeight="1">
      <c r="H734" s="281"/>
      <c r="I734" s="281"/>
      <c r="N734" s="281"/>
    </row>
    <row r="735" spans="8:14" ht="14.25" customHeight="1">
      <c r="H735" s="281"/>
      <c r="I735" s="281"/>
      <c r="N735" s="281"/>
    </row>
    <row r="736" spans="8:14" ht="14.25" customHeight="1">
      <c r="H736" s="281"/>
      <c r="I736" s="281"/>
      <c r="N736" s="281"/>
    </row>
    <row r="737" spans="8:14" ht="14.25" customHeight="1">
      <c r="H737" s="281"/>
      <c r="I737" s="281"/>
      <c r="N737" s="281"/>
    </row>
    <row r="738" spans="8:14" ht="14.25" customHeight="1">
      <c r="H738" s="281"/>
      <c r="I738" s="281"/>
      <c r="N738" s="281"/>
    </row>
    <row r="739" spans="8:14" ht="14.25" customHeight="1">
      <c r="H739" s="281"/>
      <c r="I739" s="281"/>
      <c r="N739" s="281"/>
    </row>
    <row r="740" spans="8:14" ht="14.25" customHeight="1">
      <c r="H740" s="281"/>
      <c r="I740" s="281"/>
      <c r="N740" s="281"/>
    </row>
    <row r="741" spans="8:14" ht="14.25" customHeight="1">
      <c r="H741" s="281"/>
      <c r="I741" s="281"/>
      <c r="N741" s="281"/>
    </row>
    <row r="742" spans="8:14" ht="14.25" customHeight="1">
      <c r="H742" s="281"/>
      <c r="I742" s="281"/>
      <c r="N742" s="281"/>
    </row>
    <row r="743" spans="8:14" ht="14.25" customHeight="1">
      <c r="H743" s="281"/>
      <c r="I743" s="281"/>
      <c r="N743" s="281"/>
    </row>
    <row r="744" spans="8:14" ht="14.25" customHeight="1">
      <c r="H744" s="281"/>
      <c r="I744" s="281"/>
      <c r="N744" s="281"/>
    </row>
    <row r="745" spans="8:14" ht="14.25" customHeight="1">
      <c r="H745" s="281"/>
      <c r="I745" s="281"/>
      <c r="N745" s="281"/>
    </row>
    <row r="746" spans="8:14" ht="14.25" customHeight="1">
      <c r="H746" s="281"/>
      <c r="I746" s="281"/>
      <c r="N746" s="281"/>
    </row>
    <row r="747" spans="8:14" ht="14.25" customHeight="1">
      <c r="H747" s="281"/>
      <c r="I747" s="281"/>
      <c r="N747" s="281"/>
    </row>
    <row r="748" spans="8:14" ht="14.25" customHeight="1">
      <c r="H748" s="281"/>
      <c r="I748" s="281"/>
      <c r="N748" s="281"/>
    </row>
    <row r="749" spans="8:14" ht="14.25" customHeight="1">
      <c r="H749" s="281"/>
      <c r="I749" s="281"/>
      <c r="N749" s="281"/>
    </row>
    <row r="750" spans="8:14" ht="14.25" customHeight="1">
      <c r="H750" s="281"/>
      <c r="I750" s="281"/>
      <c r="N750" s="281"/>
    </row>
    <row r="751" spans="8:14" ht="14.25" customHeight="1">
      <c r="H751" s="281"/>
      <c r="I751" s="281"/>
      <c r="N751" s="281"/>
    </row>
    <row r="752" spans="8:14" ht="14.25" customHeight="1">
      <c r="H752" s="281"/>
      <c r="I752" s="281"/>
      <c r="N752" s="281"/>
    </row>
    <row r="753" spans="8:14" ht="14.25" customHeight="1">
      <c r="H753" s="281"/>
      <c r="I753" s="281"/>
      <c r="N753" s="281"/>
    </row>
    <row r="754" spans="8:14" ht="14.25" customHeight="1">
      <c r="H754" s="281"/>
      <c r="I754" s="281"/>
      <c r="N754" s="281"/>
    </row>
    <row r="755" spans="8:14" ht="14.25" customHeight="1">
      <c r="H755" s="281"/>
      <c r="I755" s="281"/>
      <c r="N755" s="281"/>
    </row>
    <row r="756" spans="8:14" ht="14.25" customHeight="1">
      <c r="H756" s="281"/>
      <c r="I756" s="281"/>
      <c r="N756" s="281"/>
    </row>
    <row r="757" spans="8:14" ht="14.25" customHeight="1">
      <c r="H757" s="281"/>
      <c r="I757" s="281"/>
      <c r="N757" s="281"/>
    </row>
    <row r="758" spans="8:14" ht="14.25" customHeight="1">
      <c r="H758" s="281"/>
      <c r="I758" s="281"/>
      <c r="N758" s="281"/>
    </row>
    <row r="759" spans="8:14" ht="14.25" customHeight="1">
      <c r="H759" s="281"/>
      <c r="I759" s="281"/>
      <c r="N759" s="281"/>
    </row>
    <row r="760" spans="8:14" ht="14.25" customHeight="1">
      <c r="H760" s="281"/>
      <c r="I760" s="281"/>
      <c r="N760" s="281"/>
    </row>
    <row r="761" spans="8:14" ht="14.25" customHeight="1">
      <c r="H761" s="281"/>
      <c r="I761" s="281"/>
      <c r="N761" s="281"/>
    </row>
    <row r="762" spans="8:14" ht="14.25" customHeight="1">
      <c r="H762" s="281"/>
      <c r="I762" s="281"/>
      <c r="N762" s="281"/>
    </row>
    <row r="763" spans="8:14" ht="14.25" customHeight="1">
      <c r="H763" s="281"/>
      <c r="I763" s="281"/>
      <c r="N763" s="281"/>
    </row>
    <row r="764" spans="8:14" ht="14.25" customHeight="1">
      <c r="H764" s="281"/>
      <c r="I764" s="281"/>
      <c r="N764" s="281"/>
    </row>
    <row r="765" spans="8:14" ht="14.25" customHeight="1">
      <c r="H765" s="281"/>
      <c r="I765" s="281"/>
      <c r="N765" s="281"/>
    </row>
    <row r="766" spans="8:14" ht="14.25" customHeight="1">
      <c r="H766" s="281"/>
      <c r="I766" s="281"/>
      <c r="N766" s="281"/>
    </row>
    <row r="767" spans="8:14" ht="14.25" customHeight="1">
      <c r="H767" s="281"/>
      <c r="I767" s="281"/>
      <c r="N767" s="281"/>
    </row>
    <row r="768" spans="8:14" ht="14.25" customHeight="1">
      <c r="H768" s="281"/>
      <c r="I768" s="281"/>
      <c r="N768" s="281"/>
    </row>
    <row r="769" spans="8:14" ht="14.25" customHeight="1">
      <c r="H769" s="281"/>
      <c r="I769" s="281"/>
      <c r="N769" s="281"/>
    </row>
    <row r="770" spans="8:14" ht="14.25" customHeight="1">
      <c r="H770" s="281"/>
      <c r="I770" s="281"/>
      <c r="N770" s="281"/>
    </row>
    <row r="771" spans="8:14" ht="14.25" customHeight="1">
      <c r="H771" s="281"/>
      <c r="I771" s="281"/>
      <c r="N771" s="281"/>
    </row>
    <row r="772" spans="8:14" ht="14.25" customHeight="1">
      <c r="H772" s="281"/>
      <c r="I772" s="281"/>
      <c r="N772" s="281"/>
    </row>
    <row r="773" spans="8:14" ht="14.25" customHeight="1">
      <c r="H773" s="281"/>
      <c r="I773" s="281"/>
      <c r="N773" s="281"/>
    </row>
    <row r="774" spans="8:14" ht="14.25" customHeight="1">
      <c r="H774" s="281"/>
      <c r="I774" s="281"/>
      <c r="N774" s="281"/>
    </row>
    <row r="775" spans="8:14" ht="14.25" customHeight="1">
      <c r="H775" s="281"/>
      <c r="I775" s="281"/>
      <c r="N775" s="281"/>
    </row>
    <row r="776" spans="8:14" ht="14.25" customHeight="1">
      <c r="H776" s="281"/>
      <c r="I776" s="281"/>
      <c r="N776" s="281"/>
    </row>
    <row r="777" spans="8:14" ht="14.25" customHeight="1">
      <c r="H777" s="281"/>
      <c r="I777" s="281"/>
      <c r="N777" s="281"/>
    </row>
    <row r="778" spans="8:14" ht="14.25" customHeight="1">
      <c r="H778" s="281"/>
      <c r="I778" s="281"/>
      <c r="N778" s="281"/>
    </row>
    <row r="779" spans="8:14" ht="14.25" customHeight="1">
      <c r="H779" s="281"/>
      <c r="I779" s="281"/>
      <c r="N779" s="281"/>
    </row>
    <row r="780" spans="8:14" ht="14.25" customHeight="1">
      <c r="H780" s="281"/>
      <c r="I780" s="281"/>
      <c r="N780" s="281"/>
    </row>
    <row r="781" spans="8:14" ht="14.25" customHeight="1">
      <c r="H781" s="281"/>
      <c r="I781" s="281"/>
      <c r="N781" s="281"/>
    </row>
    <row r="782" spans="8:14" ht="14.25" customHeight="1">
      <c r="H782" s="281"/>
      <c r="I782" s="281"/>
      <c r="N782" s="281"/>
    </row>
    <row r="783" spans="8:14" ht="14.25" customHeight="1">
      <c r="H783" s="281"/>
      <c r="I783" s="281"/>
      <c r="N783" s="281"/>
    </row>
    <row r="784" spans="8:14" ht="14.25" customHeight="1">
      <c r="H784" s="281"/>
      <c r="I784" s="281"/>
      <c r="N784" s="281"/>
    </row>
    <row r="785" spans="8:14" ht="14.25" customHeight="1">
      <c r="H785" s="281"/>
      <c r="I785" s="281"/>
      <c r="N785" s="281"/>
    </row>
    <row r="786" spans="8:14" ht="14.25" customHeight="1">
      <c r="H786" s="281"/>
      <c r="I786" s="281"/>
      <c r="N786" s="281"/>
    </row>
    <row r="787" spans="8:14" ht="14.25" customHeight="1">
      <c r="H787" s="281"/>
      <c r="I787" s="281"/>
      <c r="N787" s="281"/>
    </row>
    <row r="788" spans="8:14" ht="14.25" customHeight="1">
      <c r="H788" s="281"/>
      <c r="I788" s="281"/>
      <c r="N788" s="281"/>
    </row>
    <row r="789" spans="8:14" ht="14.25" customHeight="1">
      <c r="H789" s="281"/>
      <c r="I789" s="281"/>
      <c r="N789" s="281"/>
    </row>
    <row r="790" spans="8:14" ht="14.25" customHeight="1">
      <c r="H790" s="281"/>
      <c r="I790" s="281"/>
      <c r="N790" s="281"/>
    </row>
    <row r="791" spans="8:14" ht="14.25" customHeight="1">
      <c r="H791" s="281"/>
      <c r="I791" s="281"/>
      <c r="N791" s="281"/>
    </row>
    <row r="792" spans="8:14" ht="14.25" customHeight="1">
      <c r="H792" s="281"/>
      <c r="I792" s="281"/>
      <c r="N792" s="281"/>
    </row>
    <row r="793" spans="8:14" ht="14.25" customHeight="1">
      <c r="H793" s="281"/>
      <c r="I793" s="281"/>
      <c r="N793" s="281"/>
    </row>
    <row r="794" spans="8:14" ht="14.25" customHeight="1">
      <c r="H794" s="281"/>
      <c r="I794" s="281"/>
      <c r="N794" s="281"/>
    </row>
    <row r="795" spans="8:14" ht="14.25" customHeight="1">
      <c r="H795" s="281"/>
      <c r="I795" s="281"/>
      <c r="N795" s="281"/>
    </row>
    <row r="796" spans="8:14" ht="14.25" customHeight="1">
      <c r="H796" s="281"/>
      <c r="I796" s="281"/>
      <c r="N796" s="281"/>
    </row>
    <row r="797" spans="8:14" ht="14.25" customHeight="1">
      <c r="H797" s="281"/>
      <c r="I797" s="281"/>
      <c r="N797" s="281"/>
    </row>
    <row r="798" spans="8:14" ht="14.25" customHeight="1">
      <c r="H798" s="281"/>
      <c r="I798" s="281"/>
      <c r="N798" s="281"/>
    </row>
    <row r="799" spans="8:14" ht="14.25" customHeight="1">
      <c r="H799" s="281"/>
      <c r="I799" s="281"/>
      <c r="N799" s="281"/>
    </row>
    <row r="800" spans="8:14" ht="14.25" customHeight="1">
      <c r="H800" s="281"/>
      <c r="I800" s="281"/>
      <c r="N800" s="281"/>
    </row>
    <row r="801" spans="8:14" ht="14.25" customHeight="1">
      <c r="H801" s="281"/>
      <c r="I801" s="281"/>
      <c r="N801" s="281"/>
    </row>
    <row r="802" spans="8:14" ht="14.25" customHeight="1">
      <c r="H802" s="281"/>
      <c r="I802" s="281"/>
      <c r="N802" s="281"/>
    </row>
    <row r="803" spans="8:14" ht="14.25" customHeight="1">
      <c r="H803" s="281"/>
      <c r="I803" s="281"/>
      <c r="N803" s="281"/>
    </row>
    <row r="804" spans="8:14" ht="14.25" customHeight="1">
      <c r="H804" s="281"/>
      <c r="I804" s="281"/>
      <c r="N804" s="281"/>
    </row>
    <row r="805" spans="8:14" ht="14.25" customHeight="1">
      <c r="H805" s="281"/>
      <c r="I805" s="281"/>
      <c r="N805" s="281"/>
    </row>
    <row r="806" spans="8:14" ht="14.25" customHeight="1">
      <c r="H806" s="281"/>
      <c r="I806" s="281"/>
      <c r="N806" s="281"/>
    </row>
    <row r="807" spans="8:14" ht="14.25" customHeight="1">
      <c r="H807" s="281"/>
      <c r="I807" s="281"/>
      <c r="N807" s="281"/>
    </row>
    <row r="808" spans="8:14" ht="14.25" customHeight="1">
      <c r="H808" s="281"/>
      <c r="I808" s="281"/>
      <c r="N808" s="281"/>
    </row>
    <row r="809" spans="8:14" ht="14.25" customHeight="1">
      <c r="H809" s="281"/>
      <c r="I809" s="281"/>
      <c r="N809" s="281"/>
    </row>
    <row r="810" spans="8:14" ht="14.25" customHeight="1">
      <c r="H810" s="281"/>
      <c r="I810" s="281"/>
      <c r="N810" s="281"/>
    </row>
    <row r="811" spans="8:14" ht="14.25" customHeight="1">
      <c r="H811" s="281"/>
      <c r="I811" s="281"/>
      <c r="N811" s="281"/>
    </row>
    <row r="812" spans="8:14" ht="14.25" customHeight="1">
      <c r="H812" s="281"/>
      <c r="I812" s="281"/>
      <c r="N812" s="281"/>
    </row>
    <row r="813" spans="8:14" ht="14.25" customHeight="1">
      <c r="H813" s="281"/>
      <c r="I813" s="281"/>
      <c r="N813" s="281"/>
    </row>
    <row r="814" spans="8:14" ht="14.25" customHeight="1">
      <c r="H814" s="281"/>
      <c r="I814" s="281"/>
      <c r="N814" s="281"/>
    </row>
    <row r="815" spans="8:14" ht="14.25" customHeight="1">
      <c r="H815" s="281"/>
      <c r="I815" s="281"/>
      <c r="N815" s="281"/>
    </row>
    <row r="816" spans="8:14" ht="14.25" customHeight="1">
      <c r="H816" s="281"/>
      <c r="I816" s="281"/>
      <c r="N816" s="281"/>
    </row>
    <row r="817" spans="8:14" ht="14.25" customHeight="1">
      <c r="H817" s="281"/>
      <c r="I817" s="281"/>
      <c r="N817" s="281"/>
    </row>
    <row r="818" spans="8:14" ht="14.25" customHeight="1">
      <c r="H818" s="281"/>
      <c r="I818" s="281"/>
      <c r="N818" s="281"/>
    </row>
    <row r="819" spans="8:14" ht="14.25" customHeight="1">
      <c r="H819" s="281"/>
      <c r="I819" s="281"/>
      <c r="N819" s="281"/>
    </row>
    <row r="820" spans="8:14" ht="14.25" customHeight="1">
      <c r="H820" s="281"/>
      <c r="I820" s="281"/>
      <c r="N820" s="281"/>
    </row>
    <row r="821" spans="8:14" ht="14.25" customHeight="1">
      <c r="H821" s="281"/>
      <c r="I821" s="281"/>
      <c r="N821" s="281"/>
    </row>
    <row r="822" spans="8:14" ht="14.25" customHeight="1">
      <c r="H822" s="281"/>
      <c r="I822" s="281"/>
      <c r="N822" s="281"/>
    </row>
    <row r="823" spans="8:14" ht="14.25" customHeight="1">
      <c r="H823" s="281"/>
      <c r="I823" s="281"/>
      <c r="N823" s="281"/>
    </row>
    <row r="824" spans="8:14" ht="14.25" customHeight="1">
      <c r="H824" s="281"/>
      <c r="I824" s="281"/>
      <c r="N824" s="281"/>
    </row>
    <row r="825" spans="8:14" ht="14.25" customHeight="1">
      <c r="H825" s="281"/>
      <c r="I825" s="281"/>
      <c r="N825" s="281"/>
    </row>
    <row r="826" spans="8:14" ht="14.25" customHeight="1">
      <c r="H826" s="281"/>
      <c r="I826" s="281"/>
      <c r="N826" s="281"/>
    </row>
    <row r="827" spans="8:14" ht="14.25" customHeight="1">
      <c r="H827" s="281"/>
      <c r="I827" s="281"/>
      <c r="N827" s="281"/>
    </row>
    <row r="828" spans="8:14" ht="14.25" customHeight="1">
      <c r="H828" s="281"/>
      <c r="I828" s="281"/>
      <c r="N828" s="281"/>
    </row>
    <row r="829" spans="8:14" ht="14.25" customHeight="1">
      <c r="H829" s="281"/>
      <c r="I829" s="281"/>
      <c r="N829" s="281"/>
    </row>
    <row r="830" spans="8:14" ht="14.25" customHeight="1">
      <c r="H830" s="281"/>
      <c r="I830" s="281"/>
      <c r="N830" s="281"/>
    </row>
    <row r="831" spans="8:14" ht="14.25" customHeight="1">
      <c r="H831" s="281"/>
      <c r="I831" s="281"/>
      <c r="N831" s="281"/>
    </row>
    <row r="832" spans="8:14" ht="14.25" customHeight="1">
      <c r="H832" s="281"/>
      <c r="I832" s="281"/>
      <c r="N832" s="281"/>
    </row>
    <row r="833" spans="8:14" ht="14.25" customHeight="1">
      <c r="H833" s="281"/>
      <c r="I833" s="281"/>
      <c r="N833" s="281"/>
    </row>
    <row r="834" spans="8:14" ht="14.25" customHeight="1">
      <c r="H834" s="281"/>
      <c r="I834" s="281"/>
      <c r="N834" s="281"/>
    </row>
    <row r="835" spans="8:14" ht="14.25" customHeight="1">
      <c r="H835" s="281"/>
      <c r="I835" s="281"/>
      <c r="N835" s="281"/>
    </row>
    <row r="836" spans="8:14" ht="14.25" customHeight="1">
      <c r="H836" s="281"/>
      <c r="I836" s="281"/>
      <c r="N836" s="281"/>
    </row>
    <row r="837" spans="8:14" ht="14.25" customHeight="1">
      <c r="H837" s="281"/>
      <c r="I837" s="281"/>
      <c r="N837" s="281"/>
    </row>
    <row r="838" spans="8:14" ht="14.25" customHeight="1">
      <c r="H838" s="281"/>
      <c r="I838" s="281"/>
      <c r="N838" s="281"/>
    </row>
    <row r="839" spans="8:14" ht="14.25" customHeight="1">
      <c r="H839" s="281"/>
      <c r="I839" s="281"/>
      <c r="N839" s="281"/>
    </row>
    <row r="840" spans="8:14" ht="14.25" customHeight="1">
      <c r="H840" s="281"/>
      <c r="I840" s="281"/>
      <c r="N840" s="281"/>
    </row>
    <row r="841" spans="8:14" ht="14.25" customHeight="1">
      <c r="H841" s="281"/>
      <c r="I841" s="281"/>
      <c r="N841" s="281"/>
    </row>
    <row r="842" spans="8:14" ht="14.25" customHeight="1">
      <c r="H842" s="281"/>
      <c r="I842" s="281"/>
      <c r="N842" s="281"/>
    </row>
    <row r="843" spans="8:14" ht="14.25" customHeight="1">
      <c r="H843" s="281"/>
      <c r="I843" s="281"/>
      <c r="N843" s="281"/>
    </row>
    <row r="844" spans="8:14" ht="14.25" customHeight="1">
      <c r="H844" s="281"/>
      <c r="I844" s="281"/>
      <c r="N844" s="281"/>
    </row>
    <row r="845" spans="8:14" ht="14.25" customHeight="1">
      <c r="H845" s="281"/>
      <c r="I845" s="281"/>
      <c r="N845" s="281"/>
    </row>
    <row r="846" spans="8:14" ht="14.25" customHeight="1">
      <c r="H846" s="281"/>
      <c r="I846" s="281"/>
      <c r="N846" s="281"/>
    </row>
    <row r="847" spans="8:14" ht="14.25" customHeight="1">
      <c r="H847" s="281"/>
      <c r="I847" s="281"/>
      <c r="N847" s="281"/>
    </row>
    <row r="848" spans="8:14" ht="14.25" customHeight="1">
      <c r="H848" s="281"/>
      <c r="I848" s="281"/>
      <c r="N848" s="281"/>
    </row>
    <row r="849" spans="8:14" ht="14.25" customHeight="1">
      <c r="H849" s="281"/>
      <c r="I849" s="281"/>
      <c r="N849" s="281"/>
    </row>
    <row r="850" spans="8:14" ht="14.25" customHeight="1">
      <c r="H850" s="281"/>
      <c r="I850" s="281"/>
      <c r="N850" s="281"/>
    </row>
    <row r="851" spans="8:14" ht="14.25" customHeight="1">
      <c r="H851" s="281"/>
      <c r="I851" s="281"/>
      <c r="N851" s="281"/>
    </row>
    <row r="852" spans="8:14" ht="14.25" customHeight="1">
      <c r="H852" s="281"/>
      <c r="I852" s="281"/>
      <c r="N852" s="281"/>
    </row>
    <row r="853" spans="8:14" ht="14.25" customHeight="1">
      <c r="H853" s="281"/>
      <c r="I853" s="281"/>
      <c r="N853" s="281"/>
    </row>
    <row r="854" spans="8:14" ht="14.25" customHeight="1">
      <c r="H854" s="281"/>
      <c r="I854" s="281"/>
      <c r="N854" s="281"/>
    </row>
    <row r="855" spans="8:14" ht="14.25" customHeight="1">
      <c r="H855" s="281"/>
      <c r="I855" s="281"/>
      <c r="N855" s="281"/>
    </row>
    <row r="856" spans="8:14" ht="14.25" customHeight="1">
      <c r="H856" s="281"/>
      <c r="I856" s="281"/>
      <c r="N856" s="281"/>
    </row>
    <row r="857" spans="8:14" ht="14.25" customHeight="1">
      <c r="H857" s="281"/>
      <c r="I857" s="281"/>
      <c r="N857" s="281"/>
    </row>
    <row r="858" spans="8:14" ht="14.25" customHeight="1">
      <c r="H858" s="281"/>
      <c r="I858" s="281"/>
      <c r="N858" s="281"/>
    </row>
    <row r="859" spans="8:14" ht="14.25" customHeight="1">
      <c r="H859" s="281"/>
      <c r="I859" s="281"/>
      <c r="N859" s="281"/>
    </row>
    <row r="860" spans="8:14" ht="14.25" customHeight="1">
      <c r="H860" s="281"/>
      <c r="I860" s="281"/>
      <c r="N860" s="281"/>
    </row>
    <row r="861" spans="8:14" ht="14.25" customHeight="1">
      <c r="H861" s="281"/>
      <c r="I861" s="281"/>
      <c r="N861" s="281"/>
    </row>
    <row r="862" spans="8:14" ht="14.25" customHeight="1">
      <c r="H862" s="281"/>
      <c r="I862" s="281"/>
      <c r="N862" s="281"/>
    </row>
    <row r="863" spans="8:14" ht="14.25" customHeight="1">
      <c r="H863" s="281"/>
      <c r="I863" s="281"/>
      <c r="N863" s="281"/>
    </row>
    <row r="864" spans="8:14" ht="14.25" customHeight="1">
      <c r="H864" s="281"/>
      <c r="I864" s="281"/>
      <c r="N864" s="281"/>
    </row>
    <row r="865" spans="8:14" ht="14.25" customHeight="1">
      <c r="H865" s="281"/>
      <c r="I865" s="281"/>
      <c r="N865" s="281"/>
    </row>
    <row r="866" spans="8:14" ht="14.25" customHeight="1">
      <c r="H866" s="281"/>
      <c r="I866" s="281"/>
      <c r="N866" s="281"/>
    </row>
    <row r="867" spans="8:14" ht="14.25" customHeight="1">
      <c r="H867" s="281"/>
      <c r="I867" s="281"/>
      <c r="N867" s="281"/>
    </row>
    <row r="868" spans="8:14" ht="14.25" customHeight="1">
      <c r="H868" s="281"/>
      <c r="I868" s="281"/>
      <c r="N868" s="281"/>
    </row>
    <row r="869" spans="8:14" ht="14.25" customHeight="1">
      <c r="H869" s="281"/>
      <c r="I869" s="281"/>
      <c r="N869" s="281"/>
    </row>
    <row r="870" spans="8:14" ht="14.25" customHeight="1">
      <c r="H870" s="281"/>
      <c r="I870" s="281"/>
      <c r="N870" s="281"/>
    </row>
    <row r="871" spans="8:14" ht="14.25" customHeight="1">
      <c r="H871" s="281"/>
      <c r="I871" s="281"/>
      <c r="N871" s="281"/>
    </row>
    <row r="872" spans="8:14" ht="14.25" customHeight="1">
      <c r="H872" s="281"/>
      <c r="I872" s="281"/>
      <c r="N872" s="281"/>
    </row>
    <row r="873" spans="8:14" ht="14.25" customHeight="1">
      <c r="H873" s="281"/>
      <c r="I873" s="281"/>
      <c r="N873" s="281"/>
    </row>
    <row r="874" spans="8:14" ht="14.25" customHeight="1">
      <c r="H874" s="281"/>
      <c r="I874" s="281"/>
      <c r="N874" s="281"/>
    </row>
    <row r="875" spans="8:14" ht="14.25" customHeight="1">
      <c r="H875" s="281"/>
      <c r="I875" s="281"/>
      <c r="N875" s="281"/>
    </row>
    <row r="876" spans="8:14" ht="14.25" customHeight="1">
      <c r="H876" s="281"/>
      <c r="I876" s="281"/>
      <c r="N876" s="281"/>
    </row>
    <row r="877" spans="8:14" ht="14.25" customHeight="1">
      <c r="H877" s="281"/>
      <c r="I877" s="281"/>
      <c r="N877" s="281"/>
    </row>
    <row r="878" spans="8:14" ht="14.25" customHeight="1">
      <c r="H878" s="281"/>
      <c r="I878" s="281"/>
      <c r="N878" s="281"/>
    </row>
    <row r="879" spans="8:14" ht="14.25" customHeight="1">
      <c r="H879" s="281"/>
      <c r="I879" s="281"/>
      <c r="N879" s="281"/>
    </row>
    <row r="880" spans="8:14" ht="14.25" customHeight="1">
      <c r="H880" s="281"/>
      <c r="I880" s="281"/>
      <c r="N880" s="281"/>
    </row>
    <row r="881" spans="8:14" ht="14.25" customHeight="1">
      <c r="H881" s="281"/>
      <c r="I881" s="281"/>
      <c r="N881" s="281"/>
    </row>
    <row r="882" spans="8:14" ht="14.25" customHeight="1">
      <c r="H882" s="281"/>
      <c r="I882" s="281"/>
      <c r="N882" s="281"/>
    </row>
    <row r="883" spans="8:14" ht="14.25" customHeight="1">
      <c r="H883" s="281"/>
      <c r="I883" s="281"/>
      <c r="N883" s="281"/>
    </row>
    <row r="884" spans="8:14" ht="14.25" customHeight="1">
      <c r="H884" s="281"/>
      <c r="I884" s="281"/>
      <c r="N884" s="281"/>
    </row>
    <row r="885" spans="8:14" ht="14.25" customHeight="1">
      <c r="H885" s="281"/>
      <c r="I885" s="281"/>
      <c r="N885" s="281"/>
    </row>
    <row r="886" spans="8:14" ht="14.25" customHeight="1">
      <c r="H886" s="281"/>
      <c r="I886" s="281"/>
      <c r="N886" s="281"/>
    </row>
    <row r="887" spans="8:14" ht="14.25" customHeight="1">
      <c r="H887" s="281"/>
      <c r="I887" s="281"/>
      <c r="N887" s="281"/>
    </row>
    <row r="888" spans="8:14" ht="14.25" customHeight="1">
      <c r="H888" s="281"/>
      <c r="I888" s="281"/>
      <c r="N888" s="281"/>
    </row>
    <row r="889" spans="8:14" ht="14.25" customHeight="1">
      <c r="H889" s="281"/>
      <c r="I889" s="281"/>
      <c r="N889" s="281"/>
    </row>
    <row r="890" spans="8:14" ht="14.25" customHeight="1">
      <c r="H890" s="281"/>
      <c r="I890" s="281"/>
      <c r="N890" s="281"/>
    </row>
    <row r="891" spans="8:14" ht="14.25" customHeight="1">
      <c r="H891" s="281"/>
      <c r="I891" s="281"/>
      <c r="N891" s="281"/>
    </row>
    <row r="892" spans="8:14" ht="14.25" customHeight="1">
      <c r="H892" s="281"/>
      <c r="I892" s="281"/>
      <c r="N892" s="281"/>
    </row>
    <row r="893" spans="8:14" ht="14.25" customHeight="1">
      <c r="H893" s="281"/>
      <c r="I893" s="281"/>
      <c r="N893" s="281"/>
    </row>
    <row r="894" spans="8:14" ht="14.25" customHeight="1">
      <c r="H894" s="281"/>
      <c r="I894" s="281"/>
      <c r="N894" s="281"/>
    </row>
    <row r="895" spans="8:14" ht="14.25" customHeight="1">
      <c r="H895" s="281"/>
      <c r="I895" s="281"/>
      <c r="N895" s="281"/>
    </row>
    <row r="896" spans="8:14" ht="14.25" customHeight="1">
      <c r="H896" s="281"/>
      <c r="I896" s="281"/>
      <c r="N896" s="281"/>
    </row>
    <row r="897" spans="8:14" ht="14.25" customHeight="1">
      <c r="H897" s="281"/>
      <c r="I897" s="281"/>
      <c r="N897" s="281"/>
    </row>
    <row r="898" spans="8:14" ht="14.25" customHeight="1">
      <c r="H898" s="281"/>
      <c r="I898" s="281"/>
      <c r="N898" s="281"/>
    </row>
    <row r="899" spans="8:14" ht="14.25" customHeight="1">
      <c r="H899" s="281"/>
      <c r="I899" s="281"/>
      <c r="N899" s="281"/>
    </row>
    <row r="900" spans="8:14" ht="14.25" customHeight="1">
      <c r="H900" s="281"/>
      <c r="I900" s="281"/>
      <c r="N900" s="281"/>
    </row>
    <row r="901" spans="8:14" ht="14.25" customHeight="1">
      <c r="H901" s="281"/>
      <c r="I901" s="281"/>
      <c r="N901" s="281"/>
    </row>
    <row r="902" spans="8:14" ht="14.25" customHeight="1">
      <c r="H902" s="281"/>
      <c r="I902" s="281"/>
      <c r="N902" s="281"/>
    </row>
    <row r="903" spans="8:14" ht="14.25" customHeight="1">
      <c r="H903" s="281"/>
      <c r="I903" s="281"/>
      <c r="N903" s="281"/>
    </row>
    <row r="904" spans="8:14" ht="14.25" customHeight="1">
      <c r="H904" s="281"/>
      <c r="I904" s="281"/>
      <c r="N904" s="281"/>
    </row>
    <row r="905" spans="8:14" ht="14.25" customHeight="1">
      <c r="H905" s="281"/>
      <c r="I905" s="281"/>
      <c r="N905" s="281"/>
    </row>
    <row r="906" spans="8:14" ht="14.25" customHeight="1">
      <c r="H906" s="281"/>
      <c r="I906" s="281"/>
      <c r="N906" s="281"/>
    </row>
    <row r="907" spans="8:14" ht="14.25" customHeight="1">
      <c r="H907" s="281"/>
      <c r="I907" s="281"/>
      <c r="N907" s="281"/>
    </row>
    <row r="908" spans="8:14" ht="14.25" customHeight="1">
      <c r="H908" s="281"/>
      <c r="I908" s="281"/>
      <c r="N908" s="281"/>
    </row>
    <row r="909" spans="8:14" ht="14.25" customHeight="1">
      <c r="H909" s="281"/>
      <c r="I909" s="281"/>
      <c r="N909" s="281"/>
    </row>
    <row r="910" spans="8:14" ht="14.25" customHeight="1">
      <c r="H910" s="281"/>
      <c r="I910" s="281"/>
      <c r="N910" s="281"/>
    </row>
    <row r="911" spans="8:14" ht="14.25" customHeight="1">
      <c r="H911" s="281"/>
      <c r="I911" s="281"/>
      <c r="N911" s="281"/>
    </row>
    <row r="912" spans="8:14" ht="14.25" customHeight="1">
      <c r="H912" s="281"/>
      <c r="I912" s="281"/>
      <c r="N912" s="281"/>
    </row>
    <row r="913" spans="8:14" ht="14.25" customHeight="1">
      <c r="H913" s="281"/>
      <c r="I913" s="281"/>
      <c r="N913" s="281"/>
    </row>
    <row r="914" spans="8:14" ht="14.25" customHeight="1">
      <c r="H914" s="281"/>
      <c r="I914" s="281"/>
      <c r="N914" s="281"/>
    </row>
    <row r="915" spans="8:14" ht="14.25" customHeight="1">
      <c r="H915" s="281"/>
      <c r="I915" s="281"/>
      <c r="N915" s="281"/>
    </row>
    <row r="916" spans="8:14" ht="14.25" customHeight="1">
      <c r="H916" s="281"/>
      <c r="I916" s="281"/>
      <c r="N916" s="281"/>
    </row>
    <row r="917" spans="8:14" ht="14.25" customHeight="1">
      <c r="H917" s="281"/>
      <c r="I917" s="281"/>
      <c r="N917" s="281"/>
    </row>
    <row r="918" spans="8:14" ht="14.25" customHeight="1">
      <c r="H918" s="281"/>
      <c r="I918" s="281"/>
      <c r="N918" s="281"/>
    </row>
    <row r="919" spans="8:14" ht="14.25" customHeight="1">
      <c r="H919" s="281"/>
      <c r="I919" s="281"/>
      <c r="N919" s="281"/>
    </row>
    <row r="920" spans="8:14" ht="14.25" customHeight="1">
      <c r="H920" s="281"/>
      <c r="I920" s="281"/>
      <c r="N920" s="281"/>
    </row>
    <row r="921" spans="8:14" ht="14.25" customHeight="1">
      <c r="H921" s="281"/>
      <c r="I921" s="281"/>
      <c r="N921" s="281"/>
    </row>
    <row r="922" spans="8:14" ht="14.25" customHeight="1">
      <c r="H922" s="281"/>
      <c r="I922" s="281"/>
      <c r="N922" s="281"/>
    </row>
    <row r="923" spans="8:14" ht="14.25" customHeight="1">
      <c r="H923" s="281"/>
      <c r="I923" s="281"/>
      <c r="N923" s="281"/>
    </row>
    <row r="924" spans="8:14" ht="14.25" customHeight="1">
      <c r="H924" s="281"/>
      <c r="I924" s="281"/>
      <c r="N924" s="281"/>
    </row>
    <row r="925" spans="8:14" ht="14.25" customHeight="1">
      <c r="H925" s="281"/>
      <c r="I925" s="281"/>
      <c r="N925" s="281"/>
    </row>
    <row r="926" spans="8:14" ht="14.25" customHeight="1">
      <c r="H926" s="281"/>
      <c r="I926" s="281"/>
      <c r="N926" s="281"/>
    </row>
    <row r="927" spans="8:14" ht="14.25" customHeight="1">
      <c r="H927" s="281"/>
      <c r="I927" s="281"/>
      <c r="N927" s="281"/>
    </row>
    <row r="928" spans="8:14" ht="14.25" customHeight="1">
      <c r="H928" s="281"/>
      <c r="I928" s="281"/>
      <c r="N928" s="281"/>
    </row>
    <row r="929" spans="8:14" ht="14.25" customHeight="1">
      <c r="H929" s="281"/>
      <c r="I929" s="281"/>
      <c r="N929" s="281"/>
    </row>
    <row r="930" spans="8:14" ht="14.25" customHeight="1">
      <c r="H930" s="281"/>
      <c r="I930" s="281"/>
      <c r="N930" s="281"/>
    </row>
    <row r="931" spans="8:14" ht="14.25" customHeight="1">
      <c r="H931" s="281"/>
      <c r="I931" s="281"/>
      <c r="N931" s="281"/>
    </row>
    <row r="932" spans="8:14" ht="14.25" customHeight="1">
      <c r="H932" s="281"/>
      <c r="I932" s="281"/>
      <c r="N932" s="281"/>
    </row>
    <row r="933" spans="8:14" ht="14.25" customHeight="1">
      <c r="H933" s="281"/>
      <c r="I933" s="281"/>
      <c r="N933" s="281"/>
    </row>
    <row r="934" spans="8:14" ht="14.25" customHeight="1">
      <c r="H934" s="281"/>
      <c r="I934" s="281"/>
      <c r="N934" s="281"/>
    </row>
    <row r="935" spans="8:14" ht="14.25" customHeight="1">
      <c r="H935" s="281"/>
      <c r="I935" s="281"/>
      <c r="N935" s="281"/>
    </row>
    <row r="936" spans="8:14" ht="14.25" customHeight="1">
      <c r="H936" s="281"/>
      <c r="I936" s="281"/>
      <c r="N936" s="281"/>
    </row>
    <row r="937" spans="8:14" ht="14.25" customHeight="1">
      <c r="H937" s="281"/>
      <c r="I937" s="281"/>
      <c r="N937" s="281"/>
    </row>
    <row r="938" spans="8:14" ht="14.25" customHeight="1">
      <c r="H938" s="281"/>
      <c r="I938" s="281"/>
      <c r="N938" s="281"/>
    </row>
    <row r="939" spans="8:14" ht="14.25" customHeight="1">
      <c r="H939" s="281"/>
      <c r="I939" s="281"/>
      <c r="N939" s="281"/>
    </row>
    <row r="940" spans="8:14" ht="14.25" customHeight="1">
      <c r="H940" s="281"/>
      <c r="I940" s="281"/>
      <c r="N940" s="281"/>
    </row>
    <row r="941" spans="8:14" ht="14.25" customHeight="1">
      <c r="H941" s="281"/>
      <c r="I941" s="281"/>
      <c r="N941" s="281"/>
    </row>
    <row r="942" spans="8:14" ht="14.25" customHeight="1">
      <c r="H942" s="281"/>
      <c r="I942" s="281"/>
      <c r="N942" s="281"/>
    </row>
    <row r="943" spans="8:14" ht="14.25" customHeight="1">
      <c r="H943" s="281"/>
      <c r="I943" s="281"/>
      <c r="N943" s="281"/>
    </row>
    <row r="944" spans="8:14" ht="14.25" customHeight="1">
      <c r="H944" s="281"/>
      <c r="I944" s="281"/>
      <c r="N944" s="281"/>
    </row>
    <row r="945" spans="8:14" ht="14.25" customHeight="1">
      <c r="H945" s="281"/>
      <c r="I945" s="281"/>
      <c r="N945" s="281"/>
    </row>
    <row r="946" spans="8:14" ht="14.25" customHeight="1">
      <c r="H946" s="281"/>
      <c r="I946" s="281"/>
      <c r="N946" s="281"/>
    </row>
    <row r="947" spans="8:14" ht="14.25" customHeight="1">
      <c r="H947" s="281"/>
      <c r="I947" s="281"/>
      <c r="N947" s="281"/>
    </row>
    <row r="948" spans="8:14" ht="14.25" customHeight="1">
      <c r="H948" s="281"/>
      <c r="I948" s="281"/>
      <c r="N948" s="281"/>
    </row>
    <row r="949" spans="8:14" ht="14.25" customHeight="1">
      <c r="H949" s="281"/>
      <c r="I949" s="281"/>
      <c r="N949" s="281"/>
    </row>
    <row r="950" spans="8:14" ht="14.25" customHeight="1">
      <c r="H950" s="281"/>
      <c r="I950" s="281"/>
      <c r="N950" s="281"/>
    </row>
    <row r="951" spans="8:14" ht="14.25" customHeight="1">
      <c r="H951" s="281"/>
      <c r="I951" s="281"/>
      <c r="N951" s="281"/>
    </row>
    <row r="952" spans="8:14" ht="14.25" customHeight="1">
      <c r="H952" s="281"/>
      <c r="I952" s="281"/>
      <c r="N952" s="281"/>
    </row>
    <row r="953" spans="8:14" ht="14.25" customHeight="1">
      <c r="H953" s="281"/>
      <c r="I953" s="281"/>
      <c r="N953" s="281"/>
    </row>
    <row r="954" spans="8:14" ht="14.25" customHeight="1">
      <c r="H954" s="281"/>
      <c r="I954" s="281"/>
      <c r="N954" s="281"/>
    </row>
    <row r="955" spans="8:14" ht="14.25" customHeight="1">
      <c r="H955" s="281"/>
      <c r="I955" s="281"/>
      <c r="N955" s="281"/>
    </row>
    <row r="956" spans="8:14" ht="14.25" customHeight="1">
      <c r="H956" s="281"/>
      <c r="I956" s="281"/>
      <c r="N956" s="281"/>
    </row>
    <row r="957" spans="8:14" ht="14.25" customHeight="1">
      <c r="H957" s="281"/>
      <c r="I957" s="281"/>
      <c r="N957" s="281"/>
    </row>
    <row r="958" spans="8:14" ht="14.25" customHeight="1">
      <c r="H958" s="281"/>
      <c r="I958" s="281"/>
      <c r="N958" s="281"/>
    </row>
    <row r="959" spans="8:14" ht="14.25" customHeight="1">
      <c r="H959" s="281"/>
      <c r="I959" s="281"/>
      <c r="N959" s="281"/>
    </row>
    <row r="960" spans="8:14" ht="14.25" customHeight="1">
      <c r="H960" s="281"/>
      <c r="I960" s="281"/>
      <c r="N960" s="281"/>
    </row>
    <row r="961" spans="8:14" ht="14.25" customHeight="1">
      <c r="H961" s="281"/>
      <c r="I961" s="281"/>
      <c r="N961" s="281"/>
    </row>
    <row r="962" spans="8:14" ht="14.25" customHeight="1">
      <c r="H962" s="281"/>
      <c r="I962" s="281"/>
      <c r="N962" s="281"/>
    </row>
    <row r="963" spans="8:14" ht="14.25" customHeight="1">
      <c r="H963" s="281"/>
      <c r="I963" s="281"/>
      <c r="N963" s="281"/>
    </row>
    <row r="964" spans="8:14" ht="14.25" customHeight="1">
      <c r="H964" s="281"/>
      <c r="I964" s="281"/>
      <c r="N964" s="281"/>
    </row>
    <row r="965" spans="8:14" ht="14.25" customHeight="1">
      <c r="H965" s="281"/>
      <c r="I965" s="281"/>
      <c r="N965" s="281"/>
    </row>
    <row r="966" spans="8:14" ht="14.25" customHeight="1">
      <c r="H966" s="281"/>
      <c r="I966" s="281"/>
      <c r="N966" s="281"/>
    </row>
    <row r="967" spans="8:14" ht="14.25" customHeight="1">
      <c r="H967" s="281"/>
      <c r="I967" s="281"/>
      <c r="N967" s="281"/>
    </row>
    <row r="968" spans="8:14" ht="14.25" customHeight="1">
      <c r="H968" s="281"/>
      <c r="I968" s="281"/>
      <c r="N968" s="281"/>
    </row>
    <row r="969" spans="8:14" ht="14.25" customHeight="1">
      <c r="H969" s="281"/>
      <c r="I969" s="281"/>
      <c r="N969" s="281"/>
    </row>
    <row r="970" spans="8:14" ht="14.25" customHeight="1">
      <c r="H970" s="281"/>
      <c r="I970" s="281"/>
      <c r="N970" s="281"/>
    </row>
    <row r="971" spans="8:14" ht="14.25" customHeight="1">
      <c r="H971" s="281"/>
      <c r="I971" s="281"/>
      <c r="N971" s="281"/>
    </row>
    <row r="972" spans="8:14" ht="14.25" customHeight="1">
      <c r="H972" s="281"/>
      <c r="I972" s="281"/>
      <c r="N972" s="281"/>
    </row>
    <row r="973" spans="8:14" ht="14.25" customHeight="1">
      <c r="H973" s="281"/>
      <c r="I973" s="281"/>
      <c r="N973" s="281"/>
    </row>
    <row r="974" spans="8:14" ht="14.25" customHeight="1">
      <c r="H974" s="281"/>
      <c r="I974" s="281"/>
      <c r="N974" s="281"/>
    </row>
    <row r="975" spans="8:14" ht="14.25" customHeight="1">
      <c r="H975" s="281"/>
      <c r="I975" s="281"/>
      <c r="N975" s="281"/>
    </row>
    <row r="976" spans="8:14" ht="14.25" customHeight="1">
      <c r="H976" s="281"/>
      <c r="I976" s="281"/>
      <c r="N976" s="281"/>
    </row>
    <row r="977" spans="8:14" ht="14.25" customHeight="1">
      <c r="H977" s="281"/>
      <c r="I977" s="281"/>
      <c r="N977" s="281"/>
    </row>
    <row r="978" spans="8:14" ht="14.25" customHeight="1">
      <c r="H978" s="281"/>
      <c r="I978" s="281"/>
      <c r="N978" s="281"/>
    </row>
    <row r="979" spans="8:14" ht="14.25" customHeight="1">
      <c r="H979" s="281"/>
      <c r="I979" s="281"/>
      <c r="N979" s="281"/>
    </row>
    <row r="980" spans="8:14" ht="14.25" customHeight="1">
      <c r="H980" s="281"/>
      <c r="I980" s="281"/>
      <c r="N980" s="281"/>
    </row>
    <row r="981" spans="8:14" ht="14.25" customHeight="1">
      <c r="H981" s="281"/>
      <c r="I981" s="281"/>
      <c r="N981" s="281"/>
    </row>
    <row r="982" spans="8:14" ht="14.25" customHeight="1">
      <c r="H982" s="281"/>
      <c r="I982" s="281"/>
      <c r="N982" s="281"/>
    </row>
    <row r="983" spans="8:14" ht="14.25" customHeight="1">
      <c r="H983" s="281"/>
      <c r="I983" s="281"/>
      <c r="N983" s="281"/>
    </row>
    <row r="984" spans="8:14" ht="14.25" customHeight="1">
      <c r="H984" s="281"/>
      <c r="I984" s="281"/>
      <c r="N984" s="281"/>
    </row>
    <row r="985" spans="8:14" ht="14.25" customHeight="1">
      <c r="H985" s="281"/>
      <c r="I985" s="281"/>
      <c r="N985" s="281"/>
    </row>
    <row r="986" spans="8:14" ht="14.25" customHeight="1">
      <c r="H986" s="281"/>
      <c r="I986" s="281"/>
      <c r="N986" s="281"/>
    </row>
    <row r="987" spans="8:14" ht="14.25" customHeight="1">
      <c r="H987" s="281"/>
      <c r="I987" s="281"/>
      <c r="N987" s="281"/>
    </row>
    <row r="988" spans="8:14" ht="14.25" customHeight="1">
      <c r="H988" s="281"/>
      <c r="I988" s="281"/>
      <c r="N988" s="281"/>
    </row>
    <row r="989" spans="8:14" ht="14.25" customHeight="1">
      <c r="H989" s="281"/>
      <c r="I989" s="281"/>
      <c r="N989" s="281"/>
    </row>
    <row r="990" spans="8:14" ht="14.25" customHeight="1">
      <c r="H990" s="281"/>
      <c r="I990" s="281"/>
      <c r="N990" s="281"/>
    </row>
    <row r="991" spans="8:14" ht="14.25" customHeight="1">
      <c r="H991" s="281"/>
      <c r="I991" s="281"/>
      <c r="N991" s="281"/>
    </row>
    <row r="992" spans="8:14" ht="14.25" customHeight="1">
      <c r="H992" s="281"/>
      <c r="I992" s="281"/>
      <c r="N992" s="281"/>
    </row>
    <row r="993" spans="8:14" ht="14.25" customHeight="1">
      <c r="H993" s="281"/>
      <c r="I993" s="281"/>
      <c r="N993" s="281"/>
    </row>
    <row r="994" spans="8:14" ht="14.25" customHeight="1">
      <c r="H994" s="281"/>
      <c r="I994" s="281"/>
      <c r="N994" s="281"/>
    </row>
    <row r="995" spans="8:14" ht="14.25" customHeight="1">
      <c r="H995" s="281"/>
      <c r="I995" s="281"/>
      <c r="N995" s="281"/>
    </row>
    <row r="996" spans="8:14" ht="14.25" customHeight="1">
      <c r="H996" s="281"/>
      <c r="I996" s="281"/>
      <c r="N996" s="281"/>
    </row>
    <row r="997" spans="8:14" ht="14.25" customHeight="1">
      <c r="H997" s="281"/>
      <c r="I997" s="281"/>
      <c r="N997" s="281"/>
    </row>
    <row r="998" spans="8:14" ht="14.25" customHeight="1">
      <c r="H998" s="281"/>
      <c r="I998" s="281"/>
      <c r="N998" s="281"/>
    </row>
    <row r="999" spans="8:14" ht="14.25" customHeight="1">
      <c r="H999" s="281"/>
      <c r="I999" s="281"/>
      <c r="N999" s="281"/>
    </row>
    <row r="1000" spans="8:14" ht="14.25" customHeight="1">
      <c r="H1000" s="281"/>
      <c r="I1000" s="281"/>
      <c r="N1000" s="281"/>
    </row>
  </sheetData>
  <mergeCells count="1">
    <mergeCell ref="B1:W1"/>
  </mergeCells>
  <phoneticPr fontId="2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配送計畫</vt:lpstr>
      <vt:lpstr>工作表1</vt:lpstr>
      <vt:lpstr>工作表2</vt:lpstr>
      <vt:lpstr>2017年度海山支會贈經明細</vt:lpstr>
      <vt:lpstr>2018年海山支會贈經明細 </vt:lpstr>
      <vt:lpstr>2019年海山支會贈經明細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阿蓉</dc:creator>
  <cp:lastModifiedBy>Richard Lai</cp:lastModifiedBy>
  <dcterms:created xsi:type="dcterms:W3CDTF">2020-02-29T07:53:16Z</dcterms:created>
  <dcterms:modified xsi:type="dcterms:W3CDTF">2026-07-19T02:31:21Z</dcterms:modified>
</cp:coreProperties>
</file>